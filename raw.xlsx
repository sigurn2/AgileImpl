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指标变更明细" sheetId="7" r:id="rId2"/>
    <sheet name="pillar分" sheetId="11" r:id="rId3"/>
    <sheet name="subindex" sheetId="1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<sst xmlns="http://schemas.openxmlformats.org/spreadsheetml/2006/main" count="1402" uniqueCount="778">
  <si>
    <t>cca3</t>
  </si>
  <si>
    <t>ppl</t>
  </si>
  <si>
    <t>gdp</t>
  </si>
  <si>
    <t>art</t>
  </si>
  <si>
    <t>p1</t>
  </si>
  <si>
    <t>p1.i</t>
  </si>
  <si>
    <t>p1.p</t>
  </si>
  <si>
    <t>p1.p.ii</t>
  </si>
  <si>
    <t>d1.1</t>
  </si>
  <si>
    <t>p2</t>
  </si>
  <si>
    <t>p2.i</t>
  </si>
  <si>
    <t>p2.p</t>
  </si>
  <si>
    <t>p2.p.ii</t>
  </si>
  <si>
    <t>d1.2</t>
  </si>
  <si>
    <t>p3</t>
  </si>
  <si>
    <t>p3.i</t>
  </si>
  <si>
    <t>p3.p</t>
  </si>
  <si>
    <t>p3.p.ii</t>
  </si>
  <si>
    <t>d1.3</t>
  </si>
  <si>
    <t>g1</t>
  </si>
  <si>
    <t>g1.i</t>
  </si>
  <si>
    <t>g1.p</t>
  </si>
  <si>
    <t>g1.p.ii</t>
  </si>
  <si>
    <t>d1.4</t>
  </si>
  <si>
    <t>a1</t>
  </si>
  <si>
    <t>m1</t>
  </si>
  <si>
    <t>p4</t>
  </si>
  <si>
    <t>p4.i</t>
  </si>
  <si>
    <t>p4.p</t>
  </si>
  <si>
    <t>p4.p.ii</t>
  </si>
  <si>
    <t>d2.1</t>
  </si>
  <si>
    <t>p5</t>
  </si>
  <si>
    <t>p5.i</t>
  </si>
  <si>
    <t>p5.p</t>
  </si>
  <si>
    <t>p5.p.ii</t>
  </si>
  <si>
    <t>p6</t>
  </si>
  <si>
    <t>p6.i</t>
  </si>
  <si>
    <t>p6.p</t>
  </si>
  <si>
    <t>p6.p.ii</t>
  </si>
  <si>
    <t>d2.2</t>
  </si>
  <si>
    <t>d2.3</t>
  </si>
  <si>
    <t>a2</t>
  </si>
  <si>
    <t>m2</t>
  </si>
  <si>
    <t>g2</t>
  </si>
  <si>
    <t>g2.i</t>
  </si>
  <si>
    <t>g2.p</t>
  </si>
  <si>
    <t>g2.p.ii</t>
  </si>
  <si>
    <t>d3.1</t>
  </si>
  <si>
    <t>g3</t>
  </si>
  <si>
    <t>g3.i</t>
  </si>
  <si>
    <t>g3.p</t>
  </si>
  <si>
    <t>g3.p.ii</t>
  </si>
  <si>
    <t>d3.2</t>
  </si>
  <si>
    <t>a3</t>
  </si>
  <si>
    <t>m3</t>
  </si>
  <si>
    <t>pillar1</t>
  </si>
  <si>
    <t>g4</t>
  </si>
  <si>
    <t>g4.i</t>
  </si>
  <si>
    <t>g4.p</t>
  </si>
  <si>
    <t>g4.p.ii</t>
  </si>
  <si>
    <t>d4.1</t>
  </si>
  <si>
    <t>a4</t>
  </si>
  <si>
    <t>m4</t>
  </si>
  <si>
    <t>m</t>
  </si>
  <si>
    <t>q1</t>
  </si>
  <si>
    <t>q2</t>
  </si>
  <si>
    <t>q3</t>
  </si>
  <si>
    <t>q4</t>
  </si>
  <si>
    <t>q5</t>
  </si>
  <si>
    <t>q6</t>
  </si>
  <si>
    <t>q7</t>
  </si>
  <si>
    <t>q9</t>
  </si>
  <si>
    <t>d5.1</t>
  </si>
  <si>
    <t>q10</t>
  </si>
  <si>
    <t>q11</t>
  </si>
  <si>
    <t>q12</t>
  </si>
  <si>
    <t>q13</t>
  </si>
  <si>
    <t>q14</t>
  </si>
  <si>
    <t>d5.2</t>
  </si>
  <si>
    <t>d5.3</t>
  </si>
  <si>
    <t>a5</t>
  </si>
  <si>
    <t>m5</t>
  </si>
  <si>
    <t>pillar2</t>
  </si>
  <si>
    <t>d6.1</t>
  </si>
  <si>
    <t>d6.2</t>
  </si>
  <si>
    <t>d6.3</t>
  </si>
  <si>
    <t>d6.4</t>
  </si>
  <si>
    <t>m6</t>
  </si>
  <si>
    <t>d7.1</t>
  </si>
  <si>
    <t>m7</t>
  </si>
  <si>
    <t>d8.1</t>
  </si>
  <si>
    <t>m8</t>
  </si>
  <si>
    <t>d9.1</t>
  </si>
  <si>
    <t>m9</t>
  </si>
  <si>
    <t>d10.1</t>
  </si>
  <si>
    <t>m10</t>
  </si>
  <si>
    <t>d11.1</t>
  </si>
  <si>
    <t>d11.2</t>
  </si>
  <si>
    <t>d11.3</t>
  </si>
  <si>
    <t>m11</t>
  </si>
  <si>
    <t>u2</t>
  </si>
  <si>
    <t>u2.i</t>
  </si>
  <si>
    <t>d12.1</t>
  </si>
  <si>
    <t>d12.2</t>
  </si>
  <si>
    <t>a12</t>
  </si>
  <si>
    <t>m12</t>
  </si>
  <si>
    <t>pillar3</t>
  </si>
  <si>
    <t>u3</t>
  </si>
  <si>
    <t>u3.i</t>
  </si>
  <si>
    <t>u4</t>
  </si>
  <si>
    <t>u4.i</t>
  </si>
  <si>
    <t>p11</t>
  </si>
  <si>
    <t>p11.i</t>
  </si>
  <si>
    <t>p11.p</t>
  </si>
  <si>
    <t>p11.p.ii</t>
  </si>
  <si>
    <t>d13.1</t>
  </si>
  <si>
    <t>q17</t>
  </si>
  <si>
    <t>d13.2</t>
  </si>
  <si>
    <t>q18</t>
  </si>
  <si>
    <t>q19</t>
  </si>
  <si>
    <t>q20</t>
  </si>
  <si>
    <t>d13.3</t>
  </si>
  <si>
    <t>a13</t>
  </si>
  <si>
    <t>m13</t>
  </si>
  <si>
    <t>q21</t>
  </si>
  <si>
    <t>q22</t>
  </si>
  <si>
    <t>q23</t>
  </si>
  <si>
    <t>d14.1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</si>
  <si>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</si>
  <si>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</si>
  <si>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</si>
  <si>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</si>
  <si>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</si>
  <si>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</si>
  <si>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</si>
  <si>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</si>
  <si>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</si>
  <si>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</si>
  <si>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</si>
  <si>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</si>
  <si>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</si>
  <si>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</si>
  <si>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</si>
  <si>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d14.2</t>
  </si>
  <si>
    <t>q39</t>
  </si>
  <si>
    <t>q40</t>
  </si>
  <si>
    <t>d14.3</t>
  </si>
  <si>
    <t>q41</t>
  </si>
  <si>
    <t>q42</t>
  </si>
  <si>
    <t>d14.4</t>
  </si>
  <si>
    <t>a14</t>
  </si>
  <si>
    <t>m14</t>
  </si>
  <si>
    <t>u5</t>
  </si>
  <si>
    <t>u5.i</t>
  </si>
  <si>
    <t>d15.1</t>
  </si>
  <si>
    <t>q44</t>
  </si>
  <si>
    <t>q45</t>
  </si>
  <si>
    <t>d15.2</t>
  </si>
  <si>
    <t>u35</t>
  </si>
  <si>
    <t>u35.i</t>
  </si>
  <si>
    <t>d15.3</t>
  </si>
  <si>
    <t>q47</t>
  </si>
  <si>
    <t>d15.4</t>
  </si>
  <si>
    <t>q48</t>
  </si>
  <si>
    <t>d15.5</t>
  </si>
  <si>
    <t>a15</t>
  </si>
  <si>
    <t>m15</t>
  </si>
  <si>
    <t>u38</t>
  </si>
  <si>
    <t>u38.i</t>
  </si>
  <si>
    <t>u39</t>
  </si>
  <si>
    <t>u39.i</t>
  </si>
  <si>
    <t>d16.1</t>
  </si>
  <si>
    <t>u40</t>
  </si>
  <si>
    <t>u40.i</t>
  </si>
  <si>
    <t>d16.2</t>
  </si>
  <si>
    <t>a16</t>
  </si>
  <si>
    <t>m16</t>
  </si>
  <si>
    <t>w1</t>
  </si>
  <si>
    <t>w1.i</t>
  </si>
  <si>
    <t>w1.p</t>
  </si>
  <si>
    <t>w1.p.ii</t>
  </si>
  <si>
    <t>d17.1</t>
  </si>
  <si>
    <t>w2</t>
  </si>
  <si>
    <t>w2.i</t>
  </si>
  <si>
    <t>w2.p</t>
  </si>
  <si>
    <t>w2.p.ii</t>
  </si>
  <si>
    <t>d17.2</t>
  </si>
  <si>
    <t>w3</t>
  </si>
  <si>
    <t>w3.i</t>
  </si>
  <si>
    <t>w3.p</t>
  </si>
  <si>
    <t>w3.p.ii</t>
  </si>
  <si>
    <t>d17.3</t>
  </si>
  <si>
    <t>a17</t>
  </si>
  <si>
    <t>m17</t>
  </si>
  <si>
    <t>pillar4</t>
  </si>
  <si>
    <t>agile</t>
  </si>
  <si>
    <t>-&gt;指标名称
国家组织 ZH
（G7,G20,BRICS11,SCO9+伙伴观察，APEC21，OECD38。。。。）</t>
  </si>
  <si>
    <t>英文名</t>
  </si>
  <si>
    <t>简写（作图用）</t>
  </si>
  <si>
    <t>按收入分类</t>
  </si>
  <si>
    <t>色号</t>
  </si>
  <si>
    <t>数据数量</t>
  </si>
  <si>
    <t>人口</t>
  </si>
  <si>
    <t>GDP in USD</t>
  </si>
  <si>
    <t>D1.1 AI相关期刊会议发表数量&amp;人均比例</t>
  </si>
  <si>
    <t>D1.2AI相关文章作者数目</t>
  </si>
  <si>
    <t>D1.3 AI专利授权数量&amp;人均比例</t>
  </si>
  <si>
    <t>D1.4 AI系统研发数量&amp;GDP比例 our world data 2019-2025总量</t>
  </si>
  <si>
    <t>D2.1 托管数据中心数量&amp;人均比例 总量</t>
  </si>
  <si>
    <t>D2.2非分布式超级计算机每秒浮点运算次数RMAX&amp;人均比例 总量</t>
  </si>
  <si>
    <t>D2.2非分布式超级计算机每秒浮点运算次数RPEAK&amp;人均比例</t>
  </si>
  <si>
    <t>D2.3 互联网基础设施水平(ICT)</t>
  </si>
  <si>
    <t>D3.1AI公司的私人投资2024年</t>
  </si>
  <si>
    <t>D3.2AI刚获得融资公司数量2024年</t>
  </si>
  <si>
    <t>D4.1 AI相关风险案例事故数量&amp;GDP比例,AIID, 
待爬</t>
  </si>
  <si>
    <t>D4.1 AI相关风险案例事故数量&amp;GDP比例,AIAIC</t>
  </si>
  <si>
    <t>D4.1 AI相关风险案例事故数量&amp;GDP比例,OECD 24.10-25.9</t>
  </si>
  <si>
    <t>D4.1 AI相关风险案例事故数量&amp;GDP比例,OECD 截止25.9</t>
  </si>
  <si>
    <t>D4.1 AI相关风险案例事故数量&amp;GDP比例,AIGO
网上没找到，最新版我再问一下，暂用上一版，应该没更新</t>
  </si>
  <si>
    <t>案例求和</t>
  </si>
  <si>
    <t>WGI 发声和问责权</t>
  </si>
  <si>
    <t>WGI 政治稳定和没有暴力</t>
  </si>
  <si>
    <t>WGI 政府效率</t>
  </si>
  <si>
    <t>WGI 监管质量</t>
  </si>
  <si>
    <t>WGI 法治</t>
  </si>
  <si>
    <t>WGI 控制腐败</t>
  </si>
  <si>
    <t>平均分</t>
  </si>
  <si>
    <t>D5.1HDI人类发展指数</t>
  </si>
  <si>
    <t>*100</t>
  </si>
  <si>
    <t>GTMI 政府技术成熟度</t>
  </si>
  <si>
    <t>技术成熟度*100</t>
  </si>
  <si>
    <t>2024 年电子政务发展指数</t>
  </si>
  <si>
    <t>发展指数*100</t>
  </si>
  <si>
    <t>2024电子参与情况（E-participation）</t>
  </si>
  <si>
    <t>参与情况*100</t>
  </si>
  <si>
    <t>互联网安全指数得分</t>
  </si>
  <si>
    <r>
      <rPr>
        <sz val="11"/>
        <color rgb="FF000000"/>
        <rFont val="宋体"/>
        <charset val="134"/>
      </rPr>
      <t>数据治理指数</t>
    </r>
    <r>
      <rPr>
        <sz val="11"/>
        <color rgb="FF000000"/>
        <rFont val="Times New Roman"/>
        <charset val="134"/>
      </rPr>
      <t>Barometer--//remove taishaole</t>
    </r>
  </si>
  <si>
    <t>D5.2电子政务水平指标分（平均分）</t>
  </si>
  <si>
    <t>D5.3 可持续发展目标实现的整体进程</t>
  </si>
  <si>
    <t>D6.1 是否发布了AI战略</t>
  </si>
  <si>
    <t>D6.2 AI战略是否有可衡量的目标（AI战略是否提供具体指标或举措？）</t>
  </si>
  <si>
    <t>D6.3 AI战略是否提及培训或技能提升</t>
  </si>
  <si>
    <t>D6.4 AI战略是否提及伦理影响</t>
  </si>
  <si>
    <t>D7.1 政府是否建立了AI治理机构</t>
  </si>
  <si>
    <t>D8.1 政府是否发布了AI原则规范</t>
  </si>
  <si>
    <t>D9.1 政府是否出台了AI影响评估机制工具</t>
  </si>
  <si>
    <t>D10.1 政府是否制定了AI的标准和认证机制</t>
  </si>
  <si>
    <t>D11.1是否有正在实施的国家层面人工智能综合性法律法规？如果没有，是否有正在制定的国家层面的人工智能综合性法律法规？</t>
  </si>
  <si>
    <t>换成零和一</t>
  </si>
  <si>
    <t>D11.2该国是否有正在实施的国家层面人工智能垂直领域法律法规（laws or regulations)包括人工智能技术领域或应用领域</t>
  </si>
  <si>
    <t>D11.3 是否制定了专门针对AI的数据保护法</t>
  </si>
  <si>
    <t>D12.1 国际AI治理机制参与度</t>
  </si>
  <si>
    <t>D12.2 ISO AI标准制定参与度</t>
  </si>
  <si>
    <t>D13.1 公众在AI相关技能上的熟练度,PISA2018</t>
  </si>
  <si>
    <t>D13.1 公众在AI相关技能上的熟练度,PISA2022</t>
  </si>
  <si>
    <t>Coursera 技能报告 - 学习者数量（m）</t>
  </si>
  <si>
    <t>D13.2公众讨论度,GOOGLE\BING</t>
  </si>
  <si>
    <t>D13.3 公众对AI应用与影响的意识水平,公众在主观上感觉是否了解人工智能(同意)</t>
  </si>
  <si>
    <t>是否意识到哪些产品和服务中使用人工智能（同意）</t>
  </si>
  <si>
    <t>成年人识别生成式 AI 创建的在线虚假信息的能力</t>
  </si>
  <si>
    <t>D14.1 公众对AI发展持积极态度的程度（使用AI的产品和服务利大于弊）</t>
  </si>
  <si>
    <t>使用AI的产品和服务让我感到兴奋</t>
  </si>
  <si>
    <t>成年人对AI影响看法积极</t>
  </si>
  <si>
    <t>D14.2公众对AI未来对日常生活影响的乐观程度</t>
  </si>
  <si>
    <t>在未来3-5年，人工智能的使用增加会使以下情况变得更好——互联网上虚假信息数量</t>
  </si>
  <si>
    <t>不变</t>
  </si>
  <si>
    <t>在未来3-5年，人工智能的使用增加会使以下情况变得更好——我的娱乐选择</t>
  </si>
  <si>
    <t>在未来3-5年，人工智能的使用增加会使以下情况变得更好——完成事情花费的时间</t>
  </si>
  <si>
    <t>在未来3-5年，人工智能的使用增加会使以下情况变得更好——我的健康</t>
  </si>
  <si>
    <t>在未来3-5年，人工智能的使用增加会使以下情况变得更好——我的工作</t>
  </si>
  <si>
    <t>在未来3-5年，人工智能的使用增加会使以下情况变得更好——就业市场</t>
  </si>
  <si>
    <t>在未来3-5年，人工智能的使用增加会使以下情况变得更好——经济</t>
  </si>
  <si>
    <t>D14.3公众对AI的信任程度（相信使用人工智能的公司会保护我的个人数据）</t>
  </si>
  <si>
    <t>信任AI不会对任何群体产生偏见或歧视</t>
  </si>
  <si>
    <t>D14.4 企业对采用AI持积极态度的程度,IBM AI 采用指数 部署 AI 的代表性公司数量</t>
  </si>
  <si>
    <t>D14.4 企业对采用AI持积极态度的程度,IBM AI 采用指数 正在探索AI 的代表性公司数量</t>
  </si>
  <si>
    <t>D15.1 AI文献作者的性别比例</t>
  </si>
  <si>
    <t>倒数？女比男</t>
  </si>
  <si>
    <t>15.2性别平等Internet gender equality,牛津Gendergaps（使用Facebook性别差距指数估计的女性与男性互联网使用比率）internet</t>
  </si>
  <si>
    <t>性别平等Internet gender equality,牛津Gendergaps（使用Facebook性别差距指数估计的女性与男性互联网使用比率）mobile</t>
  </si>
  <si>
    <t>15.3young female coder</t>
  </si>
  <si>
    <t>15.4OECD GDT指标（老年人使用互联网人口比例2023年数据）</t>
  </si>
  <si>
    <t>D15.5OECD GDT指标（低收入人群使用互联网比例2022年数据）</t>
  </si>
  <si>
    <t>D16.1 有影响力的开放AI数据集数量</t>
  </si>
  <si>
    <t>D16.1 有影响力的开放AI模型数量</t>
  </si>
  <si>
    <t>D16.2 研究人员在AI开发者社区中的活跃度.github热门AI项目贡献者活跃度</t>
  </si>
  <si>
    <t>D17.1 AI治理主题的文献数量&amp;总数比例</t>
  </si>
  <si>
    <t>D17.2人工智能安全相关文献发表数数目</t>
  </si>
  <si>
    <t>D17.3 AI与可持续发展主题的文献数量&amp;文献总数比例</t>
  </si>
  <si>
    <t>美国</t>
  </si>
  <si>
    <t>United States</t>
  </si>
  <si>
    <t>US</t>
  </si>
  <si>
    <t>high income</t>
  </si>
  <si>
    <t>High income</t>
  </si>
  <si>
    <t>#2E86C1</t>
  </si>
  <si>
    <t>29184890000000</t>
  </si>
  <si>
    <t>英国</t>
  </si>
  <si>
    <t>United Kingdom</t>
  </si>
  <si>
    <t>UK</t>
  </si>
  <si>
    <t>#1E90FF</t>
  </si>
  <si>
    <t>3643834188782.91</t>
  </si>
  <si>
    <t>0.785681818181818</t>
  </si>
  <si>
    <t>法国</t>
  </si>
  <si>
    <t>France</t>
  </si>
  <si>
    <t>#006266</t>
  </si>
  <si>
    <t>0.714318181818182</t>
  </si>
  <si>
    <t>德国</t>
  </si>
  <si>
    <t>Germany</t>
  </si>
  <si>
    <t>#F1C40F</t>
  </si>
  <si>
    <t>0.837272727272727</t>
  </si>
  <si>
    <t>日本</t>
  </si>
  <si>
    <t>Japan</t>
  </si>
  <si>
    <t>#DAD0D6</t>
  </si>
  <si>
    <t>0.814545454545455</t>
  </si>
  <si>
    <t>加拿大</t>
  </si>
  <si>
    <t>Canada</t>
  </si>
  <si>
    <t>#A0522D</t>
  </si>
  <si>
    <t>0.804772727272727</t>
  </si>
  <si>
    <t>意大利</t>
  </si>
  <si>
    <t>Italy</t>
  </si>
  <si>
    <t>#90EE90</t>
  </si>
  <si>
    <t>0.801590909090909</t>
  </si>
  <si>
    <t>中国</t>
  </si>
  <si>
    <t>China</t>
  </si>
  <si>
    <t>upper-middle income</t>
  </si>
  <si>
    <t>Upper middle income</t>
  </si>
  <si>
    <t>#FF2400</t>
  </si>
  <si>
    <t>18743803170827.2</t>
  </si>
  <si>
    <t>俄罗斯</t>
  </si>
  <si>
    <t>Russian Federation</t>
  </si>
  <si>
    <t>Russia</t>
  </si>
  <si>
    <t>#0F52BA</t>
  </si>
  <si>
    <t>2173835806671.66</t>
  </si>
  <si>
    <t>0.806136363636364</t>
  </si>
  <si>
    <t>印度</t>
  </si>
  <si>
    <t>India</t>
  </si>
  <si>
    <t>low-middle income</t>
  </si>
  <si>
    <t>Lower middle income</t>
  </si>
  <si>
    <t>#FFA500</t>
  </si>
  <si>
    <t>0.665681818181818</t>
  </si>
  <si>
    <t>巴西</t>
  </si>
  <si>
    <t>Brazil</t>
  </si>
  <si>
    <t>#6B8E23</t>
  </si>
  <si>
    <t>0.605909090909091</t>
  </si>
  <si>
    <t>南非</t>
  </si>
  <si>
    <t>South Africa</t>
  </si>
  <si>
    <t>S.Africa</t>
  </si>
  <si>
    <t>#228B22</t>
  </si>
  <si>
    <t>0.814090909090909</t>
  </si>
  <si>
    <t>沙特阿拉伯</t>
  </si>
  <si>
    <t>Saudi Arabia</t>
  </si>
  <si>
    <t>S.Arabia</t>
  </si>
  <si>
    <t>#50C878</t>
  </si>
  <si>
    <t>0.500227272727273</t>
  </si>
  <si>
    <t>阿根廷</t>
  </si>
  <si>
    <t>Argentina</t>
  </si>
  <si>
    <t>#AED6F1</t>
  </si>
  <si>
    <t>0.754318181818182</t>
  </si>
  <si>
    <t>澳大利亚</t>
  </si>
  <si>
    <t>Australia</t>
  </si>
  <si>
    <t>#5B5EA6</t>
  </si>
  <si>
    <t>0.794090909090909</t>
  </si>
  <si>
    <t>韩国</t>
  </si>
  <si>
    <t>Republic of Korea</t>
  </si>
  <si>
    <t>S.Korea</t>
  </si>
  <si>
    <t>#DAC1A2</t>
  </si>
  <si>
    <t>1712792854202.37</t>
  </si>
  <si>
    <t>0.700454545454545</t>
  </si>
  <si>
    <t>墨西哥</t>
  </si>
  <si>
    <t>Mexico</t>
  </si>
  <si>
    <t>#C8A2C8</t>
  </si>
  <si>
    <t>0.792045454545455</t>
  </si>
  <si>
    <t>土耳其</t>
  </si>
  <si>
    <t>Türkiye</t>
  </si>
  <si>
    <t>#FFB3DE</t>
  </si>
  <si>
    <t>0.778863636363636</t>
  </si>
  <si>
    <t>印度尼西亚</t>
  </si>
  <si>
    <t>Indonesia</t>
  </si>
  <si>
    <t>#EE82EE</t>
  </si>
  <si>
    <t>0.569545454545455</t>
  </si>
  <si>
    <t>阿联酋</t>
  </si>
  <si>
    <t>United Arab Emirates</t>
  </si>
  <si>
    <t>UAE</t>
  </si>
  <si>
    <t>#F3E5AB</t>
  </si>
  <si>
    <t>0.739545454545455</t>
  </si>
  <si>
    <t>新加坡</t>
  </si>
  <si>
    <t>Singapore</t>
  </si>
  <si>
    <t>#E74C3C</t>
  </si>
  <si>
    <t>0.773863636363636</t>
  </si>
  <si>
    <t>新西兰</t>
  </si>
  <si>
    <t>New Zealand</t>
  </si>
  <si>
    <t>N.Zealand</t>
  </si>
  <si>
    <t>#F5C6CB</t>
  </si>
  <si>
    <t>荷兰</t>
  </si>
  <si>
    <t>Netherlands</t>
  </si>
  <si>
    <t>#E0DAC6</t>
  </si>
  <si>
    <t>0.817272727272727</t>
  </si>
  <si>
    <t>芬兰</t>
  </si>
  <si>
    <t>Finland</t>
  </si>
  <si>
    <t>#DDBBBB</t>
  </si>
  <si>
    <t>0.807954545454545</t>
  </si>
  <si>
    <t>西班牙</t>
  </si>
  <si>
    <t>Spain</t>
  </si>
  <si>
    <t>#990012</t>
  </si>
  <si>
    <t>0.754545454545455</t>
  </si>
  <si>
    <t>葡萄牙</t>
  </si>
  <si>
    <t>Portugal</t>
  </si>
  <si>
    <t>#808000</t>
  </si>
  <si>
    <t>0.647272727272727</t>
  </si>
  <si>
    <t>以色列</t>
  </si>
  <si>
    <t>Israel</t>
  </si>
  <si>
    <t>#9B59B6</t>
  </si>
  <si>
    <t>0.775681818181818</t>
  </si>
  <si>
    <t>比利时</t>
  </si>
  <si>
    <t>Belgium</t>
  </si>
  <si>
    <t>#FCE883</t>
  </si>
  <si>
    <t>0.784090909090909</t>
  </si>
  <si>
    <t>智利</t>
  </si>
  <si>
    <t>Chile</t>
  </si>
  <si>
    <t>#CC7700</t>
  </si>
  <si>
    <t>0.702727272727273</t>
  </si>
  <si>
    <t>哥伦比亚</t>
  </si>
  <si>
    <t>Colombia</t>
  </si>
  <si>
    <t>#FFA07A</t>
  </si>
  <si>
    <t>0.753181818181818</t>
  </si>
  <si>
    <t>丹麦</t>
  </si>
  <si>
    <t>Denmark</t>
  </si>
  <si>
    <t>#C21807</t>
  </si>
  <si>
    <t>匈牙利</t>
  </si>
  <si>
    <t>Hungary</t>
  </si>
  <si>
    <t>#9B30FF</t>
  </si>
  <si>
    <t>0.770681818181818</t>
  </si>
  <si>
    <t>爱尔兰</t>
  </si>
  <si>
    <t>Ireland</t>
  </si>
  <si>
    <t>#5D478B</t>
  </si>
  <si>
    <t>0.809090909090909</t>
  </si>
  <si>
    <t>挪威</t>
  </si>
  <si>
    <t>Norway</t>
  </si>
  <si>
    <t>#BDC3C7</t>
  </si>
  <si>
    <t>0.786136363636364</t>
  </si>
  <si>
    <t>波兰</t>
  </si>
  <si>
    <t>Poland</t>
  </si>
  <si>
    <t>0.723863636363636</t>
  </si>
  <si>
    <t>瑞典</t>
  </si>
  <si>
    <t>Sweden</t>
  </si>
  <si>
    <t>#826644</t>
  </si>
  <si>
    <t>瑞士</t>
  </si>
  <si>
    <t>Switzerland</t>
  </si>
  <si>
    <t>#B0C4DE</t>
  </si>
  <si>
    <t>0.802954545454545</t>
  </si>
  <si>
    <t>秘鲁</t>
  </si>
  <si>
    <t>Peru</t>
  </si>
  <si>
    <t>#8E44AD</t>
  </si>
  <si>
    <t>0.650454545454545</t>
  </si>
  <si>
    <t>泰国</t>
  </si>
  <si>
    <t>Thailand</t>
  </si>
  <si>
    <t>#FFC0CB</t>
  </si>
  <si>
    <t>0.831590909090909</t>
  </si>
  <si>
    <t>马来西亚</t>
  </si>
  <si>
    <t>Malaysia</t>
  </si>
  <si>
    <t>#E6A9EC</t>
  </si>
  <si>
    <t>0.656136363636364</t>
  </si>
  <si>
    <t>哈萨克斯坦</t>
  </si>
  <si>
    <t>Kazakhstan</t>
  </si>
  <si>
    <t>0.654090909090909</t>
  </si>
  <si>
    <t>吉尔吉斯斯坦</t>
  </si>
  <si>
    <t>Kyrgyzstan</t>
  </si>
  <si>
    <t>Kyrgyz.</t>
  </si>
  <si>
    <t>0.350454545454545</t>
  </si>
  <si>
    <t>塔吉克斯坦</t>
  </si>
  <si>
    <t>Tajikistan</t>
  </si>
  <si>
    <t>Tajik. </t>
  </si>
  <si>
    <t>0.0347727272727273</t>
  </si>
  <si>
    <t>乌兹别克斯坦</t>
  </si>
  <si>
    <t>Uzbekistan</t>
  </si>
  <si>
    <t>Uzbek.</t>
  </si>
  <si>
    <t>0.512727272727273</t>
  </si>
  <si>
    <t>巴基斯坦</t>
  </si>
  <si>
    <t>Pakistan</t>
  </si>
  <si>
    <t>0.818863636363636</t>
  </si>
  <si>
    <t>伊朗</t>
  </si>
  <si>
    <t>Iran</t>
  </si>
  <si>
    <t>0.715909090909091</t>
  </si>
  <si>
    <t>白俄罗斯</t>
  </si>
  <si>
    <t>Belarus</t>
  </si>
  <si>
    <t>0.691333333333333</t>
  </si>
  <si>
    <t>埃及</t>
  </si>
  <si>
    <t>Egypt, Arab Rep.</t>
  </si>
  <si>
    <t>Egypt</t>
  </si>
  <si>
    <t>0.599111111111111</t>
  </si>
  <si>
    <t>埃塞俄比亚</t>
  </si>
  <si>
    <t>Ethiopia</t>
  </si>
  <si>
    <t>low income</t>
  </si>
  <si>
    <t>126772707851.339</t>
  </si>
  <si>
    <t>0.655111111111111</t>
  </si>
  <si>
    <t>越南</t>
  </si>
  <si>
    <t>Vietnam</t>
  </si>
  <si>
    <t>0.824666666666667</t>
  </si>
  <si>
    <t>菲律宾</t>
  </si>
  <si>
    <t>Republic of the Philippines</t>
  </si>
  <si>
    <t>Philippines</t>
  </si>
  <si>
    <t>0.772888888888889</t>
  </si>
  <si>
    <t>文莱达鲁萨兰国</t>
  </si>
  <si>
    <t>Brunei Darussalam</t>
  </si>
  <si>
    <t>Brunei</t>
  </si>
  <si>
    <t>0.278222222222222</t>
  </si>
  <si>
    <t>巴布亚新几内亚</t>
  </si>
  <si>
    <t>Papua New Guinea</t>
  </si>
  <si>
    <t>PNG</t>
  </si>
  <si>
    <t>0.295555555555556</t>
  </si>
  <si>
    <t>奥地利</t>
  </si>
  <si>
    <t>Austria</t>
  </si>
  <si>
    <t>0.773111111111111</t>
  </si>
  <si>
    <t>哥斯达黎加</t>
  </si>
  <si>
    <t>Costa Rica</t>
  </si>
  <si>
    <t>CR / CRC</t>
  </si>
  <si>
    <t>0.625333333333333</t>
  </si>
  <si>
    <t>捷克</t>
  </si>
  <si>
    <t>The Czech Republic</t>
  </si>
  <si>
    <t>CZ / CZE</t>
  </si>
  <si>
    <t>爱沙尼亚</t>
  </si>
  <si>
    <t>Estonia</t>
  </si>
  <si>
    <t>0.597111111111111</t>
  </si>
  <si>
    <t>希腊</t>
  </si>
  <si>
    <t>Greece</t>
  </si>
  <si>
    <t>0.844666666666667</t>
  </si>
  <si>
    <t>冰岛</t>
  </si>
  <si>
    <t>Iceland</t>
  </si>
  <si>
    <t>0.615777777777778</t>
  </si>
  <si>
    <t>拉脱维亚</t>
  </si>
  <si>
    <t>Latvia</t>
  </si>
  <si>
    <t>0.684666666666667</t>
  </si>
  <si>
    <t>立陶宛</t>
  </si>
  <si>
    <t>Lithuania</t>
  </si>
  <si>
    <t>0.653555555555556</t>
  </si>
  <si>
    <t>卢森堡</t>
  </si>
  <si>
    <t>Luxembourg</t>
  </si>
  <si>
    <t>0.553333333333333</t>
  </si>
  <si>
    <t>斯洛伐克</t>
  </si>
  <si>
    <t>Slovak Republic</t>
  </si>
  <si>
    <t>0.725555555555556</t>
  </si>
  <si>
    <t>斯洛文尼亚</t>
  </si>
  <si>
    <t>The Republic of Slovenia</t>
  </si>
  <si>
    <t>Slovenia</t>
  </si>
  <si>
    <t>阿富汗</t>
  </si>
  <si>
    <t>The Islamic Republic of Afghanistan</t>
  </si>
  <si>
    <t>Afghanistan</t>
  </si>
  <si>
    <t>Low income</t>
  </si>
  <si>
    <t>0.545555555555556</t>
  </si>
  <si>
    <t>蒙古</t>
  </si>
  <si>
    <t>Mongolia</t>
  </si>
  <si>
    <t>0.551333333333333</t>
  </si>
  <si>
    <t>阿塞拜疆</t>
  </si>
  <si>
    <t>Azerbaijan</t>
  </si>
  <si>
    <t>0.596888888888889</t>
  </si>
  <si>
    <t>亚美尼亚</t>
  </si>
  <si>
    <t>Armenia</t>
  </si>
  <si>
    <t>0.633555555555556</t>
  </si>
  <si>
    <t>巴林</t>
  </si>
  <si>
    <t>Bahrain</t>
  </si>
  <si>
    <t>0.594444444444444</t>
  </si>
  <si>
    <t>柬埔寨</t>
  </si>
  <si>
    <t>Cambodia</t>
  </si>
  <si>
    <t>0.699777777777778</t>
  </si>
  <si>
    <t>科威特</t>
  </si>
  <si>
    <t>Kuwait</t>
  </si>
  <si>
    <t>0.693555555555556</t>
  </si>
  <si>
    <t>马尔代夫</t>
  </si>
  <si>
    <t>Maldives</t>
  </si>
  <si>
    <t>0.239333333333333</t>
  </si>
  <si>
    <t>缅甸</t>
  </si>
  <si>
    <t>Myanmar</t>
  </si>
  <si>
    <t>0.582444444444444</t>
  </si>
  <si>
    <t>尼泊尔</t>
  </si>
  <si>
    <t>Nepal</t>
  </si>
  <si>
    <t>0.729111111111111</t>
  </si>
  <si>
    <t>卡塔尔</t>
  </si>
  <si>
    <t>Qatar</t>
  </si>
  <si>
    <t>0.718666666666667</t>
  </si>
  <si>
    <t>斯里兰卡</t>
  </si>
  <si>
    <t>Sri Lanka</t>
  </si>
  <si>
    <t>老挝</t>
  </si>
  <si>
    <t>The Lao People’s Democratic Republic</t>
  </si>
  <si>
    <t>Lao PDR</t>
  </si>
  <si>
    <t>0.568666666666667</t>
  </si>
  <si>
    <t>尼加拉瓜</t>
  </si>
  <si>
    <t>Nicaragua</t>
  </si>
  <si>
    <t>0.546444444444444</t>
  </si>
  <si>
    <t>阿尔及利亚</t>
  </si>
  <si>
    <t>Algeria</t>
  </si>
  <si>
    <t>0.743777777777778</t>
  </si>
  <si>
    <t>保加利亚</t>
  </si>
  <si>
    <t>Bulgaria</t>
  </si>
  <si>
    <t>0.733555555555556</t>
  </si>
  <si>
    <t>摩洛哥</t>
  </si>
  <si>
    <t>Morocco</t>
  </si>
  <si>
    <t>0.769777777777778</t>
  </si>
  <si>
    <t>评估方面</t>
  </si>
  <si>
    <t>评估维度</t>
  </si>
  <si>
    <t>评估指标</t>
  </si>
  <si>
    <t>新版指标</t>
  </si>
  <si>
    <t>1.5修改</t>
  </si>
  <si>
    <t>P1. 发展水平</t>
  </si>
  <si>
    <t>D1. AI研发活跃度</t>
  </si>
  <si>
    <t>D1.2 AI专业人才数量&amp;人均比例</t>
  </si>
  <si>
    <t>D1.4 AI系统研发数量&amp;GDP比例</t>
  </si>
  <si>
    <t>D2. AI基础设施</t>
  </si>
  <si>
    <t>D2.1 托管数据中心数量&amp;人均比例</t>
  </si>
  <si>
    <t>D2.1 托管数据中心数量&amp;人均GDP比例</t>
  </si>
  <si>
    <t>D2都改回人均比例</t>
  </si>
  <si>
    <t>D2.2非分布式超级计算机每秒浮点运算次数&amp;人均比例</t>
  </si>
  <si>
    <t>D2.2非分布式超级计算机每秒浮点运算次数&amp;人均GDP比例</t>
  </si>
  <si>
    <t>D2.3全球互联网速度</t>
  </si>
  <si>
    <t>D2.3改成互联网基础设施水平：ICT得分</t>
  </si>
  <si>
    <t>D3. AI研发活跃度</t>
  </si>
  <si>
    <t>D3.1 AI公司的资金规模&amp;GDP比例</t>
  </si>
  <si>
    <t>D3.2 AI初创公司数量&amp;GDP比例</t>
  </si>
  <si>
    <t>D3.3 证券交易所上市AI公司数量&amp;GDP比例</t>
  </si>
  <si>
    <t>P2. 治理环境</t>
  </si>
  <si>
    <t>D4. AI风险暴露度</t>
  </si>
  <si>
    <t>D4.1 AI相关风险案例/事故数量&amp;GDP比例</t>
  </si>
  <si>
    <t>D4.取100-得分</t>
  </si>
  <si>
    <t>D4.</t>
  </si>
  <si>
    <t>D5. AI治理准备度</t>
  </si>
  <si>
    <t>D5.1国家治理水平的整体评价</t>
  </si>
  <si>
    <t>D5.1国家治理水平</t>
  </si>
  <si>
    <t>D5.1 国家治理水平的整体评价（WGI&amp;HDI&amp;互联网安全&amp;数据治理Baro）</t>
  </si>
  <si>
    <t>D5.2 可持续发展目标实现的整体进程</t>
  </si>
  <si>
    <t>D5.2国家电子政务发展水平</t>
  </si>
  <si>
    <t>D5.2国家电子政务发展水平（GTMI&amp;UNUIS）</t>
  </si>
  <si>
    <t>D5.3可持续发展目标实现的整体进程</t>
  </si>
  <si>
    <t>P3. 治理工具</t>
  </si>
  <si>
    <t>D6. AI战略规划</t>
  </si>
  <si>
    <t>D6.2 AI战略是否有可衡量的目标</t>
  </si>
  <si>
    <t>D6.4 AI专项支出预算规模&amp;GDP比例</t>
  </si>
  <si>
    <t>D7. AI治理机构</t>
  </si>
  <si>
    <t>D7.1 是否建立了AI治理机构</t>
  </si>
  <si>
    <t>考虑添加7.2是否成立人工智能安全研究机构</t>
  </si>
  <si>
    <t>D8. AI原则规范</t>
  </si>
  <si>
    <t>D8.1 是否发布了AI原则规范</t>
  </si>
  <si>
    <t>D9. AI影响评估</t>
  </si>
  <si>
    <t>D9.1 是否出台了AI影响评估工具</t>
  </si>
  <si>
    <t>D9.2 安全实验（金融）AI的监管沙箱数量</t>
  </si>
  <si>
    <t>D10. AI标准认证</t>
  </si>
  <si>
    <t>D10.1 是否制定了AI的标准和认证机制</t>
  </si>
  <si>
    <t>D11. AI立法现状</t>
  </si>
  <si>
    <t>D11.1 是否制定了国家层面的AI法</t>
  </si>
  <si>
    <t>D11.2 是否制定了专门针对AI的数据保护法</t>
  </si>
  <si>
    <t>D11.3 是否制定了专门针对AI的消费者保护法</t>
  </si>
  <si>
    <t>D11.4 是否有处于后期颁布阶段的AI法律文书</t>
  </si>
  <si>
    <t>D12. AI治理国际参与</t>
  </si>
  <si>
    <t>P4. 治理成效</t>
  </si>
  <si>
    <t>D13. 公众AI认知度</t>
  </si>
  <si>
    <t>D13.1 公众在AI相关能力上的熟练度</t>
  </si>
  <si>
    <t>D13.2 公众对AI应用与影响的意识水平</t>
  </si>
  <si>
    <t>D13.2 公众讨论度</t>
  </si>
  <si>
    <t>D13.3 公众对AI应用与影响的意识水平</t>
  </si>
  <si>
    <t>D14. 公众AI信任度</t>
  </si>
  <si>
    <t>D14.1 公众对AI发展持积极态度的程度</t>
  </si>
  <si>
    <t>D14.3公众对AI应用的信任程度</t>
  </si>
  <si>
    <t>D14.2 企业对采用AI持积极态度的程度</t>
  </si>
  <si>
    <t>D14.4 企业对采用AI持积极态度的程度</t>
  </si>
  <si>
    <t>D15. AI发展包容度</t>
  </si>
  <si>
    <t>D15.2 AI相关专业中的毕业生性别比例</t>
  </si>
  <si>
    <t>D15.2互联网使用性别比例</t>
  </si>
  <si>
    <t>D15.3 弱势群体参与AI应用场景的比例</t>
  </si>
  <si>
    <t>D15.3 年轻女性中具有编程能力的占比</t>
  </si>
  <si>
    <t>D15.4 老年人参与AI应用的比例</t>
  </si>
  <si>
    <t>D15.5 低收入</t>
  </si>
  <si>
    <t>D16. 数据算法开放度</t>
  </si>
  <si>
    <t>D16.1 开放AI模型及数据集统计</t>
  </si>
  <si>
    <t>D16.2 研究人员在AI开发者社区中的活跃度</t>
  </si>
  <si>
    <t>github已添加</t>
  </si>
  <si>
    <t>D17. AI治理研究活跃度</t>
  </si>
  <si>
    <t>D17.2 AI安全主题的文献数&amp;总数比例</t>
  </si>
  <si>
    <t>D18.1 AI与可持续发展主题的文献数量&amp;总数比例</t>
  </si>
  <si>
    <t>D18.2 AI应用于可持续发展目标的案例数量&amp;GDP比例</t>
  </si>
  <si>
    <t>Pillar1</t>
  </si>
  <si>
    <r>
      <rPr>
        <b/>
        <sz val="11"/>
        <color rgb="FF000000"/>
        <rFont val="宋体"/>
        <charset val="134"/>
      </rPr>
      <t>国家组织</t>
    </r>
    <r>
      <rPr>
        <b/>
        <sz val="11"/>
        <color rgb="FF000000"/>
        <rFont val="Times New Roman"/>
        <charset val="134"/>
      </rPr>
      <t xml:space="preserve"> ZH</t>
    </r>
  </si>
  <si>
    <t>P1</t>
  </si>
  <si>
    <t>PILLAR（正分）</t>
  </si>
  <si>
    <t>PILLAR（100-）</t>
  </si>
  <si>
    <t>Pillar</t>
  </si>
  <si>
    <t>PILLAR</t>
  </si>
  <si>
    <t>正分</t>
  </si>
  <si>
    <t>100-</t>
  </si>
  <si>
    <r>
      <rPr>
        <sz val="11"/>
        <color rgb="FF000000"/>
        <rFont val="宋体"/>
        <charset val="134"/>
      </rPr>
      <t>国家组织</t>
    </r>
    <r>
      <rPr>
        <sz val="11"/>
        <color rgb="FF000000"/>
        <rFont val="Times New Roman"/>
        <charset val="134"/>
      </rPr>
      <t xml:space="preserve"> ZH</t>
    </r>
  </si>
  <si>
    <t>风险求和后pillar</t>
  </si>
  <si>
    <t>PILLAR 3</t>
  </si>
  <si>
    <t>PILLAR4</t>
  </si>
  <si>
    <r>
      <rPr>
        <sz val="11"/>
        <color rgb="FFFFFFFF"/>
        <rFont val="Times New Roman"/>
        <charset val="134"/>
      </rPr>
      <t>25.1.16</t>
    </r>
    <r>
      <rPr>
        <sz val="11"/>
        <color rgb="FFFFFFFF"/>
        <rFont val="宋体"/>
        <charset val="134"/>
      </rPr>
      <t>版本</t>
    </r>
  </si>
  <si>
    <r>
      <rPr>
        <sz val="11"/>
        <color rgb="FF000000"/>
        <rFont val="汉仪书宋二KW"/>
        <charset val="134"/>
      </rPr>
      <t>英文名</t>
    </r>
  </si>
  <si>
    <t>P2</t>
  </si>
  <si>
    <t>P 3</t>
  </si>
  <si>
    <t>P4</t>
  </si>
  <si>
    <t>AGILE</t>
  </si>
  <si>
    <t>RANK</t>
  </si>
  <si>
    <t>去年</t>
  </si>
  <si>
    <t>变化</t>
  </si>
  <si>
    <t>1.17版本</t>
  </si>
  <si>
    <r>
      <rPr>
        <b/>
        <sz val="11"/>
        <color theme="1"/>
        <rFont val="宋体"/>
        <charset val="134"/>
      </rPr>
      <t>美国</t>
    </r>
  </si>
  <si>
    <r>
      <rPr>
        <b/>
        <sz val="11"/>
        <color theme="1"/>
        <rFont val="宋体"/>
        <charset val="134"/>
      </rPr>
      <t>英国</t>
    </r>
  </si>
  <si>
    <r>
      <rPr>
        <b/>
        <sz val="11"/>
        <color theme="1"/>
        <rFont val="宋体"/>
        <charset val="134"/>
      </rPr>
      <t>中国</t>
    </r>
  </si>
  <si>
    <r>
      <rPr>
        <b/>
        <sz val="11"/>
        <color theme="1"/>
        <rFont val="宋体"/>
        <charset val="134"/>
      </rPr>
      <t>法国</t>
    </r>
  </si>
  <si>
    <r>
      <rPr>
        <b/>
        <sz val="11"/>
        <color theme="1"/>
        <rFont val="宋体"/>
        <charset val="134"/>
      </rPr>
      <t>韩国</t>
    </r>
  </si>
  <si>
    <t>下滑明显</t>
  </si>
  <si>
    <r>
      <rPr>
        <b/>
        <sz val="11"/>
        <color theme="1"/>
        <rFont val="宋体"/>
        <charset val="134"/>
      </rPr>
      <t>德国</t>
    </r>
  </si>
  <si>
    <r>
      <rPr>
        <b/>
        <sz val="11"/>
        <color theme="1"/>
        <rFont val="宋体"/>
        <charset val="134"/>
      </rPr>
      <t>日本</t>
    </r>
  </si>
  <si>
    <r>
      <rPr>
        <b/>
        <sz val="11"/>
        <color theme="1"/>
        <rFont val="宋体"/>
        <charset val="134"/>
      </rPr>
      <t>新加坡</t>
    </r>
  </si>
  <si>
    <r>
      <rPr>
        <b/>
        <sz val="11"/>
        <color theme="1"/>
        <rFont val="宋体"/>
        <charset val="134"/>
      </rPr>
      <t>加拿大</t>
    </r>
  </si>
  <si>
    <r>
      <rPr>
        <b/>
        <sz val="11"/>
        <color theme="1"/>
        <rFont val="宋体"/>
        <charset val="134"/>
      </rPr>
      <t>意大利</t>
    </r>
  </si>
  <si>
    <r>
      <rPr>
        <b/>
        <sz val="11"/>
        <color theme="1"/>
        <rFont val="宋体"/>
        <charset val="134"/>
      </rPr>
      <t>芬兰</t>
    </r>
  </si>
  <si>
    <t>上升明显</t>
  </si>
  <si>
    <r>
      <rPr>
        <b/>
        <sz val="11"/>
        <color theme="1"/>
        <rFont val="宋体"/>
        <charset val="134"/>
      </rPr>
      <t>俄罗斯</t>
    </r>
  </si>
  <si>
    <r>
      <rPr>
        <b/>
        <sz val="11"/>
        <color theme="1"/>
        <rFont val="宋体"/>
        <charset val="134"/>
      </rPr>
      <t>印度</t>
    </r>
  </si>
  <si>
    <r>
      <rPr>
        <b/>
        <sz val="11"/>
        <color theme="1"/>
        <rFont val="宋体"/>
        <charset val="134"/>
      </rPr>
      <t>挪威</t>
    </r>
  </si>
  <si>
    <r>
      <rPr>
        <b/>
        <sz val="11"/>
        <color theme="1"/>
        <rFont val="宋体"/>
        <charset val="134"/>
      </rPr>
      <t>巴西</t>
    </r>
  </si>
  <si>
    <r>
      <rPr>
        <b/>
        <sz val="11"/>
        <color theme="1"/>
        <rFont val="宋体"/>
        <charset val="134"/>
      </rPr>
      <t>瑞典</t>
    </r>
  </si>
  <si>
    <t>沙特</t>
  </si>
  <si>
    <r>
      <rPr>
        <b/>
        <sz val="11"/>
        <color theme="1"/>
        <rFont val="宋体"/>
        <charset val="134"/>
      </rPr>
      <t>南非</t>
    </r>
  </si>
  <si>
    <r>
      <rPr>
        <b/>
        <sz val="11"/>
        <color theme="1"/>
        <rFont val="宋体"/>
        <charset val="134"/>
      </rPr>
      <t>荷兰</t>
    </r>
  </si>
  <si>
    <r>
      <rPr>
        <b/>
        <sz val="11"/>
        <color theme="1"/>
        <rFont val="宋体"/>
        <charset val="134"/>
      </rPr>
      <t>沙特阿拉伯</t>
    </r>
  </si>
  <si>
    <r>
      <rPr>
        <b/>
        <sz val="11"/>
        <color theme="1"/>
        <rFont val="宋体"/>
        <charset val="134"/>
      </rPr>
      <t>阿根廷</t>
    </r>
  </si>
  <si>
    <r>
      <rPr>
        <b/>
        <sz val="11"/>
        <color theme="1"/>
        <rFont val="宋体"/>
        <charset val="134"/>
      </rPr>
      <t>澳大利亚</t>
    </r>
  </si>
  <si>
    <r>
      <rPr>
        <b/>
        <sz val="11"/>
        <color theme="1"/>
        <rFont val="宋体"/>
        <charset val="134"/>
      </rPr>
      <t>丹麦</t>
    </r>
  </si>
  <si>
    <r>
      <rPr>
        <b/>
        <sz val="11"/>
        <color theme="1"/>
        <rFont val="宋体"/>
        <charset val="134"/>
      </rPr>
      <t>墨西哥</t>
    </r>
  </si>
  <si>
    <r>
      <rPr>
        <b/>
        <sz val="11"/>
        <color theme="1"/>
        <rFont val="宋体"/>
        <charset val="134"/>
      </rPr>
      <t>土耳其</t>
    </r>
  </si>
  <si>
    <r>
      <rPr>
        <b/>
        <sz val="11"/>
        <color theme="1"/>
        <rFont val="宋体"/>
        <charset val="134"/>
      </rPr>
      <t>瑞士</t>
    </r>
  </si>
  <si>
    <r>
      <rPr>
        <b/>
        <sz val="11"/>
        <color theme="1"/>
        <rFont val="宋体"/>
        <charset val="134"/>
      </rPr>
      <t>印度尼西亚</t>
    </r>
  </si>
  <si>
    <r>
      <rPr>
        <b/>
        <sz val="11"/>
        <color theme="1"/>
        <rFont val="宋体"/>
        <charset val="134"/>
      </rPr>
      <t>西班牙</t>
    </r>
  </si>
  <si>
    <r>
      <rPr>
        <b/>
        <sz val="11"/>
        <color theme="1"/>
        <rFont val="宋体"/>
        <charset val="134"/>
      </rPr>
      <t>阿联酋</t>
    </r>
  </si>
  <si>
    <r>
      <rPr>
        <b/>
        <sz val="11"/>
        <color theme="1"/>
        <rFont val="宋体"/>
        <charset val="134"/>
      </rPr>
      <t>新西兰</t>
    </r>
  </si>
  <si>
    <r>
      <rPr>
        <b/>
        <sz val="11"/>
        <color theme="1"/>
        <rFont val="宋体"/>
        <charset val="134"/>
      </rPr>
      <t>爱尔兰</t>
    </r>
  </si>
  <si>
    <r>
      <rPr>
        <b/>
        <sz val="11"/>
        <color theme="1"/>
        <rFont val="宋体"/>
        <charset val="134"/>
      </rPr>
      <t>马来西亚</t>
    </r>
  </si>
  <si>
    <r>
      <rPr>
        <b/>
        <sz val="11"/>
        <color theme="1"/>
        <rFont val="宋体"/>
        <charset val="134"/>
      </rPr>
      <t>葡萄牙</t>
    </r>
  </si>
  <si>
    <r>
      <rPr>
        <b/>
        <sz val="11"/>
        <color theme="1"/>
        <rFont val="宋体"/>
        <charset val="134"/>
      </rPr>
      <t>以色列</t>
    </r>
  </si>
  <si>
    <r>
      <rPr>
        <b/>
        <sz val="11"/>
        <color theme="1"/>
        <rFont val="宋体"/>
        <charset val="134"/>
      </rPr>
      <t>比利时</t>
    </r>
  </si>
  <si>
    <r>
      <rPr>
        <b/>
        <sz val="11"/>
        <color theme="1"/>
        <rFont val="宋体"/>
        <charset val="134"/>
      </rPr>
      <t>泰国</t>
    </r>
  </si>
  <si>
    <r>
      <rPr>
        <b/>
        <sz val="11"/>
        <color theme="1"/>
        <rFont val="宋体"/>
        <charset val="134"/>
      </rPr>
      <t>智利</t>
    </r>
  </si>
  <si>
    <r>
      <rPr>
        <b/>
        <sz val="11"/>
        <color theme="1"/>
        <rFont val="宋体"/>
        <charset val="134"/>
      </rPr>
      <t>哥伦比亚</t>
    </r>
  </si>
  <si>
    <r>
      <rPr>
        <b/>
        <sz val="11"/>
        <color theme="1"/>
        <rFont val="宋体"/>
        <charset val="134"/>
      </rPr>
      <t>匈牙利</t>
    </r>
  </si>
  <si>
    <r>
      <rPr>
        <b/>
        <sz val="11"/>
        <color theme="1"/>
        <rFont val="宋体"/>
        <charset val="134"/>
      </rPr>
      <t>波兰</t>
    </r>
  </si>
  <si>
    <r>
      <rPr>
        <b/>
        <sz val="11"/>
        <color theme="1"/>
        <rFont val="宋体"/>
        <charset val="134"/>
      </rPr>
      <t>秘鲁</t>
    </r>
  </si>
  <si>
    <r>
      <rPr>
        <b/>
        <sz val="11"/>
        <color rgb="FFFFFFFF"/>
        <rFont val="宋体"/>
        <charset val="134"/>
      </rPr>
      <t>来源链接</t>
    </r>
  </si>
  <si>
    <t>来源链接</t>
  </si>
  <si>
    <t>Countries</t>
  </si>
  <si>
    <t>AI Safety Research and Development</t>
  </si>
  <si>
    <t>AI Safety Environment</t>
  </si>
  <si>
    <t>AI Safety Bodies</t>
  </si>
  <si>
    <t>AI Safety Tools</t>
  </si>
  <si>
    <t>International Participation in AI Safety</t>
  </si>
  <si>
    <r>
      <rPr>
        <sz val="11"/>
        <color rgb="FF000000"/>
        <rFont val="汉仪书宋二KW"/>
        <charset val="134"/>
      </rPr>
      <t>安全论文数量</t>
    </r>
  </si>
  <si>
    <r>
      <rPr>
        <sz val="11"/>
        <color rgb="FF000000"/>
        <rFont val="汉仪书宋二KW"/>
        <charset val="134"/>
      </rPr>
      <t>安全论文数量与论文总数比例</t>
    </r>
  </si>
  <si>
    <r>
      <rPr>
        <sz val="11"/>
        <color rgb="FF000000"/>
        <rFont val="汉仪书宋二KW"/>
        <charset val="134"/>
      </rPr>
      <t>安全专利</t>
    </r>
  </si>
  <si>
    <r>
      <rPr>
        <sz val="11"/>
        <color rgb="FF000000"/>
        <rFont val="汉仪书宋二KW"/>
        <charset val="134"/>
      </rPr>
      <t>网络安全指数、</t>
    </r>
  </si>
  <si>
    <r>
      <rPr>
        <sz val="11"/>
        <color theme="1"/>
        <rFont val="汉仪书宋二KW"/>
        <charset val="134"/>
      </rPr>
      <t>人工智能安全风险事件数量</t>
    </r>
  </si>
  <si>
    <r>
      <rPr>
        <sz val="11"/>
        <color rgb="FF000000"/>
        <rFont val="汉仪书宋二KW"/>
        <charset val="134"/>
      </rPr>
      <t>研究所、网络或者联盟</t>
    </r>
  </si>
  <si>
    <t>研究所备注</t>
  </si>
  <si>
    <r>
      <rPr>
        <sz val="11"/>
        <color rgb="FF000000"/>
        <rFont val="汉仪书宋二KW"/>
        <charset val="134"/>
      </rPr>
      <t>法律（数据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汉仪书宋二KW"/>
        <charset val="134"/>
      </rPr>
      <t>网络安全法</t>
    </r>
    <r>
      <rPr>
        <sz val="11"/>
        <color rgb="FF000000"/>
        <rFont val="Times New Roman"/>
        <charset val="134"/>
      </rPr>
      <t>data/cyber/ai safety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Times New Roman"/>
        <charset val="134"/>
      </rPr>
      <t>&lt;</t>
    </r>
    <r>
      <rPr>
        <sz val="11"/>
        <color rgb="FF000000"/>
        <rFont val="汉仪书宋二KW"/>
        <charset val="134"/>
      </rPr>
      <t>基于不完全调研</t>
    </r>
    <r>
      <rPr>
        <sz val="11"/>
        <color rgb="FF000000"/>
        <rFont val="Times New Roman"/>
        <charset val="134"/>
      </rPr>
      <t>&gt;</t>
    </r>
  </si>
  <si>
    <r>
      <rPr>
        <sz val="11"/>
        <color rgb="FF000000"/>
        <rFont val="汉仪书宋二KW"/>
        <charset val="134"/>
      </rPr>
      <t>框架（技术性或政策性的指南框架）</t>
    </r>
  </si>
  <si>
    <r>
      <rPr>
        <sz val="11"/>
        <color rgb="FF000000"/>
        <rFont val="汉仪书宋二KW"/>
        <charset val="134"/>
      </rPr>
      <t>政府</t>
    </r>
  </si>
  <si>
    <r>
      <rPr>
        <sz val="11"/>
        <color rgb="FF000000"/>
        <rFont val="汉仪书宋二KW"/>
        <charset val="134"/>
      </rPr>
      <t>产业界</t>
    </r>
  </si>
  <si>
    <r>
      <rPr>
        <sz val="11"/>
        <color theme="1"/>
        <rFont val="汉仪书宋二KW"/>
        <charset val="134"/>
      </rPr>
      <t>科学界（和民间社会团体、</t>
    </r>
    <r>
      <rPr>
        <sz val="11"/>
        <color theme="1"/>
        <rFont val="Times New Roman"/>
        <charset val="134"/>
      </rPr>
      <t>or Center for AI Safety</t>
    </r>
    <r>
      <rPr>
        <sz val="11"/>
        <color theme="1"/>
        <rFont val="汉仪书宋二KW"/>
        <charset val="134"/>
      </rPr>
      <t>）</t>
    </r>
  </si>
  <si>
    <t>1美国人工智能安全研究所（USAISI）；2人工智能安全研究所联盟（AISIC）；3 International Network of AI Safety Institutes</t>
  </si>
  <si>
    <t>2023.11.1 https://www.nist.gov/aisi；2024.2.8https://www.nist.gov/aisi/artificial-intelligence-safety-institute-consortium-aisic；2024.11.21 https://www.nist.gov/system/files/documents/2024/11/20/Mission%20Statement%20-%20International%20Network%20of%20AISIs.pdf</t>
  </si>
  <si>
    <t>1人工智能安全研究所（AISI）；2AI Safety Research Labs（LASR）</t>
  </si>
  <si>
    <t>2023年11月 https://www.aisi.gov.uk/；2024.11 https://www.lasrlabs.org/</t>
  </si>
  <si>
    <t>人工智能安全研究所（AISI）</t>
  </si>
  <si>
    <t>2024.2.14https://aisi.go.jp/</t>
  </si>
  <si>
    <t>2024.11.12 https://ised-isde.canada.ca/site/ised/en/canadian-artificial-intelligence-safety-institute</t>
  </si>
  <si>
    <t>China AI Development and Safety Network</t>
  </si>
  <si>
    <t>Unidad de Inteligencia Artificial Aplicada a la Seguridad  (UIAAS)</t>
  </si>
  <si>
    <t>2024.8 https://www.argentina.gob.ar/noticias/nuevas-herramientas-para-combatir-el-ciberdelito</t>
  </si>
  <si>
    <t>2024.11.27https://www.aisi.re.kr/kor</t>
  </si>
  <si>
    <t>来源</t>
  </si>
  <si>
    <t>逐个写</t>
  </si>
  <si>
    <t>来源直接贴表</t>
  </si>
  <si>
    <t>https://www.gov.uk/government/publications/frontier-ai-safety-commitments-ai-seoul-summit-2024/frontier-ai-safety-commitments-ai-seoul-summit-2024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</si>
</sst>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.0_ "/>
  </numFmts>
  <fonts count="6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汉仪书宋二KW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Times New Roman"/>
      <charset val="134"/>
    </font>
    <font>
      <b/>
      <sz val="11"/>
      <color rgb="FF000000"/>
      <name val="宋体"/>
      <charset val="134"/>
    </font>
    <font>
      <sz val="11"/>
      <color rgb="FFFFFFFF"/>
      <name val="Times New Roman"/>
      <charset val="134"/>
    </font>
    <font>
      <u/>
      <sz val="11"/>
      <color rgb="FF0000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sz val="11"/>
      <color rgb="FFFFFFFF"/>
      <name val="宋体"/>
      <charset val="134"/>
      <scheme val="minor"/>
    </font>
    <font>
      <b/>
      <sz val="11"/>
      <color rgb="FFFFFFFF"/>
      <name val="Times New Roman"/>
      <charset val="134"/>
    </font>
    <font>
      <b/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417FF9"/>
      <name val="宋体"/>
      <charset val="134"/>
    </font>
    <font>
      <sz val="11"/>
      <color rgb="FF417FF9"/>
      <name val="宋体"/>
      <charset val="134"/>
      <scheme val="minor"/>
    </font>
    <font>
      <sz val="11"/>
      <color rgb="FFFF0000"/>
      <name val="宋体"/>
      <charset val="134"/>
    </font>
    <font>
      <sz val="10"/>
      <color rgb="FF000000"/>
      <name val="Microsoft YaHei"/>
      <charset val="134"/>
    </font>
    <font>
      <sz val="11"/>
      <color rgb="FF417FF9"/>
      <name val="Times New Roman"/>
      <charset val="134"/>
    </font>
    <font>
      <strike/>
      <sz val="11"/>
      <color rgb="FF000000"/>
      <name val="Times New Roman"/>
      <charset val="134"/>
    </font>
    <font>
      <sz val="11"/>
      <color rgb="FF000000"/>
      <name val="宋体"/>
      <charset val="0"/>
      <scheme val="minor"/>
    </font>
    <font>
      <b/>
      <sz val="12"/>
      <color rgb="FF00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rgb="FF000000"/>
      <name val="宋体"/>
      <charset val="0"/>
    </font>
    <font>
      <sz val="10.5"/>
      <color rgb="FF000000"/>
      <name val="宋体"/>
      <charset val="134"/>
    </font>
    <font>
      <sz val="11"/>
      <color rgb="FFFF0000"/>
      <name val="Times New Roman"/>
      <charset val="134"/>
    </font>
    <font>
      <b/>
      <sz val="11"/>
      <color rgb="FF417FF9"/>
      <name val="宋体"/>
      <charset val="134"/>
    </font>
    <font>
      <sz val="11.25"/>
      <color rgb="FF417FF9"/>
      <name val="宋体"/>
      <charset val="134"/>
      <scheme val="minor"/>
    </font>
    <font>
      <sz val="10.5"/>
      <color rgb="FF417FF9"/>
      <name val="宋体"/>
      <charset val="134"/>
      <scheme val="minor"/>
    </font>
    <font>
      <sz val="11"/>
      <color rgb="FF417FF9"/>
      <name val="宋体"/>
      <charset val="0"/>
      <scheme val="minor"/>
    </font>
    <font>
      <strike/>
      <sz val="11"/>
      <color rgb="FF417FF9"/>
      <name val="宋体"/>
      <charset val="134"/>
      <scheme val="minor"/>
    </font>
    <font>
      <sz val="11.25"/>
      <color theme="1"/>
      <name val="宋体"/>
      <charset val="134"/>
      <scheme val="minor"/>
    </font>
    <font>
      <sz val="11.3"/>
      <color rgb="FF000000"/>
      <name val="宋体"/>
      <charset val="134"/>
      <scheme val="minor"/>
    </font>
    <font>
      <sz val="11.5"/>
      <color rgb="FF000000"/>
      <name val="宋体"/>
      <charset val="134"/>
    </font>
    <font>
      <sz val="11.5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sz val="11"/>
      <color theme="1"/>
      <name val="汉仪书宋二KW"/>
      <charset val="134"/>
    </font>
  </fonts>
  <fills count="56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7C7C7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6C7EA"/>
        <bgColor indexed="64"/>
      </patternFill>
    </fill>
    <fill>
      <patternFill patternType="solid">
        <fgColor rgb="FFFFBAD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CDDFA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27" borderId="6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50" fillId="0" borderId="8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8" borderId="9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3" fillId="20" borderId="9" applyNumberFormat="0" applyAlignment="0" applyProtection="0">
      <alignment vertical="center"/>
    </xf>
    <xf numFmtId="0" fontId="54" fillId="9" borderId="11" applyNumberFormat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</cellStyleXfs>
  <cellXfs count="211">
    <xf numFmtId="0" fontId="0" fillId="0" borderId="0" xfId="0"/>
    <xf numFmtId="0" fontId="1" fillId="0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176" fontId="2" fillId="0" borderId="0" xfId="0" applyNumberFormat="1" applyFont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76" fontId="4" fillId="0" borderId="1" xfId="0" applyNumberFormat="1" applyFont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7" fillId="0" borderId="1" xfId="6" applyFont="1" applyBorder="1" applyAlignment="1">
      <alignment horizont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10" fillId="0" borderId="0" xfId="6" applyFont="1" applyAlignment="1">
      <alignment wrapText="1"/>
    </xf>
    <xf numFmtId="0" fontId="0" fillId="2" borderId="0" xfId="0" applyFill="1"/>
    <xf numFmtId="0" fontId="0" fillId="3" borderId="0" xfId="0" applyFill="1"/>
    <xf numFmtId="177" fontId="0" fillId="3" borderId="0" xfId="0" applyNumberFormat="1" applyFill="1"/>
    <xf numFmtId="177" fontId="0" fillId="0" borderId="0" xfId="0" applyNumberFormat="1"/>
    <xf numFmtId="0" fontId="0" fillId="2" borderId="0" xfId="0" applyFont="1" applyFill="1" applyBorder="1"/>
    <xf numFmtId="0" fontId="0" fillId="0" borderId="0" xfId="0" applyFont="1" applyBorder="1"/>
    <xf numFmtId="0" fontId="0" fillId="3" borderId="0" xfId="0" applyFont="1" applyFill="1"/>
    <xf numFmtId="177" fontId="0" fillId="3" borderId="0" xfId="0" applyNumberFormat="1" applyFont="1" applyFill="1"/>
    <xf numFmtId="0" fontId="0" fillId="3" borderId="0" xfId="0" applyFont="1" applyFill="1" applyBorder="1"/>
    <xf numFmtId="0" fontId="0" fillId="0" borderId="0" xfId="0" applyFill="1" applyBorder="1"/>
    <xf numFmtId="0" fontId="0" fillId="0" borderId="0" xfId="0" applyFont="1" applyFill="1" applyBorder="1"/>
    <xf numFmtId="0" fontId="2" fillId="0" borderId="0" xfId="0" applyFont="1" applyFill="1" applyBorder="1" applyAlignment="1">
      <alignment horizontal="center"/>
    </xf>
    <xf numFmtId="177" fontId="1" fillId="4" borderId="0" xfId="0" applyNumberFormat="1" applyFont="1" applyFill="1" applyBorder="1" applyAlignment="1">
      <alignment horizontal="center"/>
    </xf>
    <xf numFmtId="177" fontId="2" fillId="4" borderId="0" xfId="0" applyNumberFormat="1" applyFont="1" applyFill="1" applyBorder="1" applyAlignment="1">
      <alignment horizontal="center"/>
    </xf>
    <xf numFmtId="178" fontId="2" fillId="0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1" fillId="2" borderId="0" xfId="0" applyFont="1" applyFill="1"/>
    <xf numFmtId="0" fontId="0" fillId="2" borderId="0" xfId="0" applyFont="1" applyFill="1"/>
    <xf numFmtId="178" fontId="0" fillId="0" borderId="0" xfId="0" applyNumberFormat="1" applyFont="1"/>
    <xf numFmtId="178" fontId="0" fillId="3" borderId="0" xfId="0" applyNumberFormat="1" applyFont="1" applyFill="1"/>
    <xf numFmtId="178" fontId="0" fillId="3" borderId="0" xfId="0" applyNumberFormat="1" applyFont="1" applyFill="1" applyBorder="1"/>
    <xf numFmtId="178" fontId="0" fillId="0" borderId="0" xfId="0" applyNumberFormat="1" applyFont="1" applyFill="1" applyBorder="1"/>
    <xf numFmtId="177" fontId="1" fillId="4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8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2" borderId="2" xfId="0" applyFont="1" applyFill="1" applyBorder="1" applyAlignment="1">
      <alignment horizontal="center" vertical="top"/>
    </xf>
    <xf numFmtId="0" fontId="13" fillId="0" borderId="2" xfId="0" applyFont="1" applyFill="1" applyBorder="1" applyAlignment="1">
      <alignment horizontal="center" vertical="top"/>
    </xf>
    <xf numFmtId="178" fontId="14" fillId="3" borderId="2" xfId="0" applyNumberFormat="1" applyFont="1" applyFill="1" applyBorder="1" applyAlignment="1">
      <alignment horizontal="center" vertical="top"/>
    </xf>
    <xf numFmtId="0" fontId="13" fillId="3" borderId="2" xfId="0" applyFont="1" applyFill="1" applyBorder="1" applyAlignment="1">
      <alignment horizontal="center" vertical="top"/>
    </xf>
    <xf numFmtId="178" fontId="14" fillId="3" borderId="0" xfId="0" applyNumberFormat="1" applyFont="1" applyFill="1" applyBorder="1" applyAlignment="1">
      <alignment horizontal="center" vertical="top"/>
    </xf>
    <xf numFmtId="178" fontId="14" fillId="0" borderId="0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14" fillId="3" borderId="0" xfId="0" applyFont="1" applyFill="1"/>
    <xf numFmtId="177" fontId="4" fillId="3" borderId="1" xfId="0" applyNumberFormat="1" applyFont="1" applyFill="1" applyBorder="1" applyAlignment="1">
      <alignment vertical="center" wrapText="1"/>
    </xf>
    <xf numFmtId="177" fontId="14" fillId="0" borderId="0" xfId="0" applyNumberFormat="1" applyFont="1"/>
    <xf numFmtId="0" fontId="14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14" fillId="0" borderId="0" xfId="0" applyFont="1" applyFill="1" applyBorder="1"/>
    <xf numFmtId="0" fontId="9" fillId="5" borderId="0" xfId="0" applyFont="1" applyFill="1" applyBorder="1" applyAlignment="1">
      <alignment horizontal="center"/>
    </xf>
    <xf numFmtId="177" fontId="3" fillId="4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8" fontId="4" fillId="3" borderId="3" xfId="0" applyNumberFormat="1" applyFont="1" applyFill="1" applyBorder="1" applyAlignment="1">
      <alignment vertical="center" wrapText="1"/>
    </xf>
    <xf numFmtId="178" fontId="4" fillId="3" borderId="1" xfId="0" applyNumberFormat="1" applyFont="1" applyFill="1" applyBorder="1" applyAlignment="1">
      <alignment vertical="center" wrapText="1"/>
    </xf>
    <xf numFmtId="178" fontId="4" fillId="3" borderId="0" xfId="0" applyNumberFormat="1" applyFont="1" applyFill="1" applyBorder="1" applyAlignment="1">
      <alignment horizontal="center" vertical="center" wrapText="1"/>
    </xf>
    <xf numFmtId="178" fontId="4" fillId="0" borderId="0" xfId="0" applyNumberFormat="1" applyFont="1" applyFill="1" applyBorder="1" applyAlignment="1">
      <alignment horizontal="center" vertical="center" wrapText="1"/>
    </xf>
    <xf numFmtId="0" fontId="0" fillId="6" borderId="0" xfId="0" applyFill="1"/>
    <xf numFmtId="177" fontId="0" fillId="7" borderId="0" xfId="0" applyNumberFormat="1" applyFill="1"/>
    <xf numFmtId="177" fontId="4" fillId="4" borderId="1" xfId="0" applyNumberFormat="1" applyFont="1" applyFill="1" applyBorder="1" applyAlignment="1">
      <alignment horizontal="center" vertical="center"/>
    </xf>
    <xf numFmtId="0" fontId="11" fillId="6" borderId="0" xfId="0" applyFont="1" applyFill="1"/>
    <xf numFmtId="0" fontId="15" fillId="0" borderId="0" xfId="0" applyFont="1" applyFill="1" applyAlignment="1">
      <alignment vertical="center"/>
    </xf>
    <xf numFmtId="0" fontId="11" fillId="8" borderId="0" xfId="0" applyFont="1" applyFill="1"/>
    <xf numFmtId="0" fontId="0" fillId="8" borderId="0" xfId="0" applyFill="1"/>
    <xf numFmtId="177" fontId="6" fillId="7" borderId="0" xfId="0" applyNumberFormat="1" applyFont="1" applyFill="1"/>
    <xf numFmtId="177" fontId="0" fillId="9" borderId="0" xfId="0" applyNumberFormat="1" applyFill="1"/>
    <xf numFmtId="0" fontId="14" fillId="0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vertical="center" wrapText="1"/>
    </xf>
    <xf numFmtId="177" fontId="16" fillId="10" borderId="0" xfId="0" applyNumberFormat="1" applyFont="1" applyFill="1" applyBorder="1" applyAlignment="1">
      <alignment vertical="center" wrapText="1"/>
    </xf>
    <xf numFmtId="177" fontId="17" fillId="4" borderId="0" xfId="0" applyNumberFormat="1" applyFont="1" applyFill="1" applyBorder="1" applyAlignment="1">
      <alignment horizontal="center" vertical="center" wrapText="1"/>
    </xf>
    <xf numFmtId="177" fontId="9" fillId="4" borderId="0" xfId="0" applyNumberFormat="1" applyFont="1" applyFill="1" applyBorder="1" applyAlignment="1">
      <alignment horizontal="center" vertical="center" wrapText="1"/>
    </xf>
    <xf numFmtId="178" fontId="9" fillId="0" borderId="0" xfId="0" applyNumberFormat="1" applyFont="1" applyFill="1" applyBorder="1" applyAlignment="1">
      <alignment horizontal="center" vertical="center" wrapText="1"/>
    </xf>
    <xf numFmtId="178" fontId="9" fillId="10" borderId="0" xfId="0" applyNumberFormat="1" applyFont="1" applyFill="1" applyBorder="1" applyAlignment="1">
      <alignment horizontal="center" vertical="center" wrapText="1"/>
    </xf>
    <xf numFmtId="0" fontId="18" fillId="10" borderId="0" xfId="0" applyFont="1" applyFill="1" applyBorder="1" applyAlignment="1">
      <alignment vertical="center" wrapText="1"/>
    </xf>
    <xf numFmtId="0" fontId="16" fillId="10" borderId="0" xfId="0" applyFont="1" applyFill="1" applyBorder="1" applyAlignment="1">
      <alignment vertical="center" wrapText="1"/>
    </xf>
    <xf numFmtId="178" fontId="19" fillId="10" borderId="0" xfId="0" applyNumberFormat="1" applyFont="1" applyFill="1" applyBorder="1" applyAlignment="1">
      <alignment vertical="center" wrapText="1"/>
    </xf>
    <xf numFmtId="178" fontId="16" fillId="10" borderId="0" xfId="0" applyNumberFormat="1" applyFont="1" applyFill="1" applyBorder="1" applyAlignment="1">
      <alignment vertical="center" wrapText="1"/>
    </xf>
    <xf numFmtId="178" fontId="16" fillId="3" borderId="0" xfId="0" applyNumberFormat="1" applyFont="1" applyFill="1" applyBorder="1" applyAlignment="1">
      <alignment vertical="center" wrapText="1"/>
    </xf>
    <xf numFmtId="0" fontId="14" fillId="0" borderId="0" xfId="0" applyFont="1" applyBorder="1"/>
    <xf numFmtId="177" fontId="0" fillId="0" borderId="0" xfId="0" applyNumberFormat="1" applyFont="1" applyFill="1"/>
    <xf numFmtId="0" fontId="11" fillId="0" borderId="0" xfId="0" applyFont="1" applyFill="1"/>
    <xf numFmtId="0" fontId="0" fillId="0" borderId="0" xfId="0" applyFont="1" applyFill="1"/>
    <xf numFmtId="178" fontId="0" fillId="0" borderId="0" xfId="0" applyNumberFormat="1" applyFont="1" applyFill="1"/>
    <xf numFmtId="0" fontId="16" fillId="0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6" fillId="11" borderId="0" xfId="0" applyFont="1" applyFill="1" applyAlignment="1">
      <alignment wrapText="1"/>
    </xf>
    <xf numFmtId="0" fontId="16" fillId="12" borderId="0" xfId="0" applyFont="1" applyFill="1" applyAlignment="1">
      <alignment wrapText="1"/>
    </xf>
    <xf numFmtId="0" fontId="19" fillId="12" borderId="0" xfId="0" applyFont="1" applyFill="1" applyAlignment="1">
      <alignment wrapText="1"/>
    </xf>
    <xf numFmtId="0" fontId="14" fillId="11" borderId="0" xfId="0" applyFont="1" applyFill="1" applyAlignment="1">
      <alignment wrapText="1"/>
    </xf>
    <xf numFmtId="0" fontId="16" fillId="13" borderId="0" xfId="0" applyFont="1" applyFill="1" applyAlignment="1">
      <alignment wrapText="1"/>
    </xf>
    <xf numFmtId="0" fontId="19" fillId="13" borderId="0" xfId="0" applyFont="1" applyFill="1" applyAlignment="1">
      <alignment wrapText="1"/>
    </xf>
    <xf numFmtId="0" fontId="16" fillId="14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0" fillId="0" borderId="0" xfId="0" applyFont="1" applyFill="1" applyAlignment="1">
      <alignment wrapText="1"/>
    </xf>
    <xf numFmtId="0" fontId="21" fillId="0" borderId="0" xfId="0" applyFont="1" applyFill="1" applyAlignment="1">
      <alignment wrapText="1"/>
    </xf>
    <xf numFmtId="0" fontId="16" fillId="15" borderId="0" xfId="0" applyFont="1" applyFill="1" applyAlignment="1">
      <alignment wrapText="1"/>
    </xf>
    <xf numFmtId="0" fontId="16" fillId="16" borderId="0" xfId="0" applyFont="1" applyFill="1" applyAlignment="1">
      <alignment wrapText="1"/>
    </xf>
    <xf numFmtId="0" fontId="19" fillId="16" borderId="0" xfId="0" applyFont="1" applyFill="1" applyAlignment="1">
      <alignment wrapText="1"/>
    </xf>
    <xf numFmtId="0" fontId="22" fillId="16" borderId="0" xfId="0" applyFont="1" applyFill="1" applyAlignment="1">
      <alignment wrapText="1"/>
    </xf>
    <xf numFmtId="0" fontId="2" fillId="17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21" fillId="0" borderId="1" xfId="0" applyFont="1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17" borderId="1" xfId="0" applyFont="1" applyFill="1" applyBorder="1" applyAlignment="1">
      <alignment horizontal="righ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vertical="center"/>
    </xf>
    <xf numFmtId="0" fontId="6" fillId="0" borderId="0" xfId="0" applyFont="1" applyFill="1" applyAlignment="1"/>
    <xf numFmtId="0" fontId="2" fillId="0" borderId="1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/>
    <xf numFmtId="0" fontId="0" fillId="0" borderId="1" xfId="0" applyFon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7" fillId="20" borderId="0" xfId="0" applyFont="1" applyFill="1" applyAlignment="1">
      <alignment horizontal="center" vertical="center" wrapText="1"/>
    </xf>
    <xf numFmtId="0" fontId="0" fillId="0" borderId="1" xfId="0" applyFill="1" applyBorder="1"/>
    <xf numFmtId="0" fontId="0" fillId="0" borderId="1" xfId="0" applyNumberForma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28" fillId="0" borderId="1" xfId="0" applyFont="1" applyFill="1" applyBorder="1" applyAlignment="1">
      <alignment vertical="center"/>
    </xf>
    <xf numFmtId="0" fontId="14" fillId="0" borderId="0" xfId="0" applyFont="1" applyFill="1" applyAlignment="1"/>
    <xf numFmtId="0" fontId="29" fillId="0" borderId="0" xfId="0" applyFont="1" applyFill="1" applyAlignment="1">
      <alignment vertical="center"/>
    </xf>
    <xf numFmtId="0" fontId="2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/>
    <xf numFmtId="0" fontId="30" fillId="0" borderId="4" xfId="0" applyFont="1" applyFill="1" applyBorder="1" applyAlignment="1">
      <alignment horizontal="center" vertical="center" wrapText="1"/>
    </xf>
    <xf numFmtId="0" fontId="27" fillId="21" borderId="0" xfId="0" applyFont="1" applyFill="1" applyAlignment="1">
      <alignment horizontal="center" vertical="center" wrapText="1"/>
    </xf>
    <xf numFmtId="0" fontId="26" fillId="22" borderId="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26" fillId="23" borderId="4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/>
    <xf numFmtId="0" fontId="31" fillId="0" borderId="0" xfId="0" applyFont="1" applyFill="1" applyAlignment="1">
      <alignment vertical="center"/>
    </xf>
    <xf numFmtId="0" fontId="32" fillId="0" borderId="1" xfId="0" applyFont="1" applyFill="1" applyBorder="1" applyAlignment="1">
      <alignment horizontal="center" vertical="center" wrapText="1"/>
    </xf>
    <xf numFmtId="0" fontId="27" fillId="24" borderId="0" xfId="0" applyFont="1" applyFill="1" applyAlignment="1">
      <alignment horizontal="center" vertical="center" wrapText="1"/>
    </xf>
    <xf numFmtId="0" fontId="0" fillId="0" borderId="0" xfId="0" applyFill="1"/>
    <xf numFmtId="0" fontId="24" fillId="18" borderId="1" xfId="0" applyFont="1" applyFill="1" applyBorder="1" applyAlignment="1">
      <alignment horizontal="center" vertical="center" wrapText="1"/>
    </xf>
    <xf numFmtId="4" fontId="6" fillId="0" borderId="0" xfId="0" applyNumberFormat="1" applyFont="1" applyFill="1" applyAlignment="1"/>
    <xf numFmtId="0" fontId="26" fillId="25" borderId="4" xfId="0" applyFont="1" applyFill="1" applyBorder="1" applyAlignment="1">
      <alignment horizontal="center" vertical="center" wrapText="1"/>
    </xf>
    <xf numFmtId="0" fontId="14" fillId="18" borderId="0" xfId="0" applyFont="1" applyFill="1" applyAlignment="1"/>
    <xf numFmtId="0" fontId="14" fillId="0" borderId="0" xfId="0" applyFont="1" applyFill="1" applyAlignment="1">
      <alignment wrapText="1"/>
    </xf>
    <xf numFmtId="0" fontId="26" fillId="18" borderId="4" xfId="0" applyFont="1" applyFill="1" applyBorder="1" applyAlignment="1">
      <alignment horizontal="center" vertical="center" wrapText="1"/>
    </xf>
    <xf numFmtId="0" fontId="26" fillId="26" borderId="4" xfId="0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right"/>
    </xf>
    <xf numFmtId="0" fontId="24" fillId="0" borderId="1" xfId="0" applyFont="1" applyFill="1" applyBorder="1" applyAlignment="1">
      <alignment vertical="center"/>
    </xf>
    <xf numFmtId="0" fontId="34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35" fillId="0" borderId="0" xfId="0" applyFont="1" applyFill="1" applyAlignment="1">
      <alignment vertical="center"/>
    </xf>
    <xf numFmtId="0" fontId="20" fillId="0" borderId="1" xfId="0" applyFont="1" applyFill="1" applyBorder="1" applyAlignment="1">
      <alignment vertical="center"/>
    </xf>
    <xf numFmtId="0" fontId="3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0" fillId="18" borderId="5" xfId="0" applyFill="1" applyBorder="1" applyAlignment="1">
      <alignment vertical="center" wrapText="1"/>
    </xf>
    <xf numFmtId="0" fontId="21" fillId="18" borderId="5" xfId="0" applyFont="1" applyFill="1" applyBorder="1" applyAlignment="1">
      <alignment vertical="center" wrapText="1"/>
    </xf>
    <xf numFmtId="0" fontId="37" fillId="0" borderId="1" xfId="0" applyFont="1" applyFill="1" applyBorder="1" applyAlignment="1">
      <alignment vertical="center"/>
    </xf>
    <xf numFmtId="0" fontId="38" fillId="0" borderId="0" xfId="0" applyFont="1" applyFill="1" applyAlignment="1">
      <alignment vertical="center"/>
    </xf>
    <xf numFmtId="0" fontId="39" fillId="0" borderId="0" xfId="0" applyFont="1" applyFill="1" applyAlignment="1">
      <alignment horizontal="center" vertical="center"/>
    </xf>
    <xf numFmtId="0" fontId="21" fillId="0" borderId="2" xfId="0" applyFont="1" applyFill="1" applyBorder="1" applyAlignment="1">
      <alignment vertical="center" wrapText="1"/>
    </xf>
    <xf numFmtId="0" fontId="40" fillId="0" borderId="0" xfId="0" applyFont="1" applyFill="1" applyAlignment="1">
      <alignment vertical="center"/>
    </xf>
    <xf numFmtId="0" fontId="41" fillId="0" borderId="0" xfId="0" applyFont="1" applyFill="1" applyAlignment="1">
      <alignment horizontal="center" vertical="center"/>
    </xf>
    <xf numFmtId="0" fontId="21" fillId="18" borderId="2" xfId="0" applyFont="1" applyFill="1" applyBorder="1" applyAlignment="1">
      <alignment vertical="center" wrapText="1"/>
    </xf>
    <xf numFmtId="0" fontId="29" fillId="0" borderId="0" xfId="0" applyFont="1" applyFill="1" applyAlignment="1">
      <alignment horizontal="right" vertical="center" wrapText="1"/>
    </xf>
    <xf numFmtId="0" fontId="42" fillId="0" borderId="0" xfId="0" applyFont="1" applyFill="1" applyAlignment="1">
      <alignment vertical="center" wrapText="1"/>
    </xf>
    <xf numFmtId="0" fontId="2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0" fontId="26" fillId="0" borderId="4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right" wrapText="1"/>
    </xf>
    <xf numFmtId="0" fontId="42" fillId="0" borderId="0" xfId="0" applyFont="1" applyFill="1" applyAlignment="1">
      <alignment vertical="center"/>
    </xf>
    <xf numFmtId="0" fontId="8" fillId="18" borderId="1" xfId="0" applyFont="1" applyFill="1" applyBorder="1" applyAlignment="1">
      <alignment horizontal="right" wrapText="1"/>
    </xf>
    <xf numFmtId="0" fontId="4" fillId="18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29" fillId="18" borderId="0" xfId="0" applyFont="1" applyFill="1" applyAlignment="1">
      <alignment vertical="center" wrapText="1"/>
    </xf>
    <xf numFmtId="0" fontId="0" fillId="18" borderId="0" xfId="0" applyFill="1" applyAlignment="1">
      <alignment vertical="center"/>
    </xf>
    <xf numFmtId="0" fontId="14" fillId="18" borderId="1" xfId="0" applyFont="1" applyFill="1" applyBorder="1" applyAlignment="1">
      <alignment vertical="center"/>
    </xf>
    <xf numFmtId="0" fontId="14" fillId="18" borderId="1" xfId="0" applyFont="1" applyFill="1" applyBorder="1" applyAlignment="1">
      <alignment horizontal="center" vertical="center"/>
    </xf>
    <xf numFmtId="0" fontId="0" fillId="18" borderId="1" xfId="0" applyFont="1" applyFill="1" applyBorder="1" applyAlignment="1">
      <alignment vertical="center"/>
    </xf>
    <xf numFmtId="0" fontId="14" fillId="18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8" fillId="17" borderId="1" xfId="0" applyFont="1" applyFill="1" applyBorder="1" applyAlignment="1" quotePrefix="1">
      <alignment horizontal="right" vertical="center" wrapText="1"/>
    </xf>
    <xf numFmtId="0" fontId="14" fillId="0" borderId="0" xfId="0" applyFont="1" applyFill="1" applyAlignment="1" quotePrefix="1">
      <alignment vertical="center"/>
    </xf>
    <xf numFmtId="0" fontId="14" fillId="0" borderId="0" xfId="0" applyFont="1" applyFill="1" applyAlignment="1" quotePrefix="1"/>
    <xf numFmtId="0" fontId="4" fillId="0" borderId="1" xfId="0" applyFont="1" applyFill="1" applyBorder="1" applyAlignment="1" quotePrefix="1">
      <alignment vertical="center"/>
    </xf>
    <xf numFmtId="0" fontId="4" fillId="0" borderId="0" xfId="0" applyFont="1" applyFill="1" applyAlignment="1" quotePrefix="1">
      <alignment vertical="center"/>
    </xf>
    <xf numFmtId="0" fontId="14" fillId="0" borderId="1" xfId="0" applyFont="1" applyFill="1" applyBorder="1" applyAlignment="1" quotePrefix="1">
      <alignment vertical="center"/>
    </xf>
    <xf numFmtId="0" fontId="14" fillId="18" borderId="0" xfId="0" applyFont="1" applyFill="1" applyAlignment="1" quotePrefix="1"/>
    <xf numFmtId="0" fontId="20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publications/frontier-ai-safety-commitments-ai-seoul-summit-2024/frontier-ai-safety-commitments-ai-seoul-summit-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S172"/>
  <sheetViews>
    <sheetView tabSelected="1" zoomScale="70" zoomScaleNormal="70" workbookViewId="0">
      <pane xSplit="1" topLeftCell="DH1" activePane="topRight" state="frozen"/>
      <selection/>
      <selection pane="topRight" activeCell="ED79" sqref="ED79"/>
    </sheetView>
  </sheetViews>
  <sheetFormatPr defaultColWidth="9" defaultRowHeight="14"/>
  <cols>
    <col min="1" max="1" width="14" style="126" customWidth="1"/>
    <col min="2" max="7" width="8.72727272727273" style="126"/>
    <col min="8" max="8" width="15.8727272727273" style="126" customWidth="1"/>
    <col min="9" max="11" width="12.6272727272727" style="126"/>
    <col min="12" max="35" width="8.72727272727273" style="126"/>
    <col min="36" max="43" width="12.6272727272727" style="126"/>
    <col min="44" max="44" width="12.8181818181818" style="126"/>
    <col min="45" max="83" width="8.72727272727273" style="126"/>
    <col min="84" max="84" width="12.6272727272727" style="126"/>
    <col min="85" max="86" width="8.72727272727273" style="126"/>
    <col min="87" max="87" width="12.8181818181818" style="126"/>
    <col min="88" max="89" width="12.6272727272727" style="126"/>
    <col min="90" max="95" width="8.72727272727273" style="126"/>
    <col min="96" max="96" width="12.8181818181818" style="126"/>
    <col min="97" max="97" width="12.6272727272727" style="126"/>
    <col min="98" max="125" width="8.72727272727273" style="126"/>
    <col min="126" max="126" width="9.37272727272727" style="126"/>
    <col min="127" max="128" width="8.72727272727273" style="126"/>
    <col min="129" max="129" width="15.2727272727273" style="126"/>
    <col min="130" max="147" width="8.72727272727273" style="126"/>
    <col min="148" max="148" width="12.8181818181818" style="126"/>
    <col min="149" max="151" width="8.72727272727273" style="126"/>
    <col min="152" max="152" width="12.8181818181818" style="126"/>
    <col min="153" max="157" width="8.72727272727273" style="126"/>
    <col min="158" max="158" width="12.8181818181818" style="126"/>
    <col min="159" max="173" width="8.72727272727273" style="126"/>
    <col min="174" max="174" width="12.8181818181818" style="126"/>
    <col min="175" max="179" width="8.72727272727273" style="126"/>
    <col min="180" max="183" width="10.5454545454545" style="126"/>
    <col min="184" max="184" width="12.6272727272727" style="126"/>
    <col min="185" max="186" width="12.8181818181818" style="126"/>
    <col min="187" max="16381" width="8.72727272727273" style="126"/>
    <col min="16382" max="16384" width="9" style="126"/>
  </cols>
  <sheetData>
    <row r="1" s="122" customFormat="1" ht="29" customHeight="1" spans="1:227">
      <c r="A1" s="127" t="s">
        <v>0</v>
      </c>
      <c r="B1" s="128"/>
      <c r="C1" s="128"/>
      <c r="D1" s="128"/>
      <c r="E1" s="128"/>
      <c r="F1" s="128"/>
      <c r="G1" s="122"/>
      <c r="H1" s="122"/>
      <c r="I1" s="122" t="s">
        <v>1</v>
      </c>
      <c r="J1" s="122"/>
      <c r="K1" s="128" t="s">
        <v>2</v>
      </c>
      <c r="L1" s="128" t="s">
        <v>3</v>
      </c>
      <c r="M1" s="128" t="s">
        <v>4</v>
      </c>
      <c r="N1" s="128" t="s">
        <v>5</v>
      </c>
      <c r="O1" s="128" t="s">
        <v>6</v>
      </c>
      <c r="P1" s="128" t="s">
        <v>7</v>
      </c>
      <c r="Q1" s="128" t="s">
        <v>8</v>
      </c>
      <c r="R1" s="128" t="s">
        <v>9</v>
      </c>
      <c r="S1" s="129" t="s">
        <v>10</v>
      </c>
      <c r="T1" s="129" t="s">
        <v>11</v>
      </c>
      <c r="U1" s="129" t="s">
        <v>12</v>
      </c>
      <c r="V1" s="129" t="s">
        <v>13</v>
      </c>
      <c r="W1" s="130" t="s">
        <v>14</v>
      </c>
      <c r="X1" s="130" t="s">
        <v>15</v>
      </c>
      <c r="Y1" s="130" t="s">
        <v>16</v>
      </c>
      <c r="Z1" s="130" t="s">
        <v>17</v>
      </c>
      <c r="AA1" s="130" t="s">
        <v>18</v>
      </c>
      <c r="AB1" s="130" t="s">
        <v>19</v>
      </c>
      <c r="AC1" s="128" t="s">
        <v>20</v>
      </c>
      <c r="AD1" s="128" t="s">
        <v>21</v>
      </c>
      <c r="AE1" s="128" t="s">
        <v>22</v>
      </c>
      <c r="AF1" s="128" t="s">
        <v>23</v>
      </c>
      <c r="AG1" s="128" t="s">
        <v>24</v>
      </c>
      <c r="AH1" s="128" t="s">
        <v>25</v>
      </c>
      <c r="AI1" s="128" t="s">
        <v>26</v>
      </c>
      <c r="AJ1" s="130" t="s">
        <v>27</v>
      </c>
      <c r="AK1" s="130" t="s">
        <v>28</v>
      </c>
      <c r="AL1" s="130" t="s">
        <v>29</v>
      </c>
      <c r="AM1" s="130" t="s">
        <v>30</v>
      </c>
      <c r="AN1" s="130" t="s">
        <v>31</v>
      </c>
      <c r="AO1" s="130" t="s">
        <v>32</v>
      </c>
      <c r="AP1" s="130" t="s">
        <v>33</v>
      </c>
      <c r="AQ1" s="130" t="s">
        <v>34</v>
      </c>
      <c r="AR1" s="130" t="s">
        <v>35</v>
      </c>
      <c r="AS1" s="130" t="s">
        <v>36</v>
      </c>
      <c r="AT1" s="130" t="s">
        <v>37</v>
      </c>
      <c r="AU1" s="130" t="s">
        <v>38</v>
      </c>
      <c r="AV1" s="130" t="s">
        <v>39</v>
      </c>
      <c r="AW1" s="130" t="s">
        <v>40</v>
      </c>
      <c r="AX1" s="128" t="s">
        <v>41</v>
      </c>
      <c r="AY1" s="128" t="s">
        <v>42</v>
      </c>
      <c r="AZ1" s="128" t="s">
        <v>43</v>
      </c>
      <c r="BA1" s="128" t="s">
        <v>44</v>
      </c>
      <c r="BB1" s="128" t="s">
        <v>45</v>
      </c>
      <c r="BC1" s="128" t="s">
        <v>46</v>
      </c>
      <c r="BD1" s="128" t="s">
        <v>47</v>
      </c>
      <c r="BE1" s="128" t="s">
        <v>48</v>
      </c>
      <c r="BF1" s="130" t="s">
        <v>49</v>
      </c>
      <c r="BG1" s="130" t="s">
        <v>50</v>
      </c>
      <c r="BH1" s="130" t="s">
        <v>51</v>
      </c>
      <c r="BI1" s="130" t="s">
        <v>52</v>
      </c>
      <c r="BJ1" s="130" t="s">
        <v>53</v>
      </c>
      <c r="BK1" s="130" t="s">
        <v>54</v>
      </c>
      <c r="BL1" s="130" t="s">
        <v>55</v>
      </c>
      <c r="BM1" s="130"/>
      <c r="BN1" s="130"/>
      <c r="BO1" s="130"/>
      <c r="BP1" s="130"/>
      <c r="BQ1" s="130"/>
      <c r="BR1" s="130" t="s">
        <v>56</v>
      </c>
      <c r="BS1" s="131" t="s">
        <v>57</v>
      </c>
      <c r="BT1" s="131" t="s">
        <v>58</v>
      </c>
      <c r="BU1" s="131" t="s">
        <v>59</v>
      </c>
      <c r="BV1" s="131" t="s">
        <v>60</v>
      </c>
      <c r="BW1" s="131" t="s">
        <v>61</v>
      </c>
      <c r="BX1" s="131" t="s">
        <v>62</v>
      </c>
      <c r="BY1" s="131" t="s">
        <v>63</v>
      </c>
      <c r="BZ1" s="131" t="s">
        <v>64</v>
      </c>
      <c r="CA1" s="128" t="s">
        <v>65</v>
      </c>
      <c r="CB1" s="128" t="s">
        <v>66</v>
      </c>
      <c r="CC1" s="128" t="s">
        <v>67</v>
      </c>
      <c r="CD1" s="128" t="s">
        <v>68</v>
      </c>
      <c r="CE1" s="128" t="s">
        <v>69</v>
      </c>
      <c r="CF1" s="128" t="s">
        <v>70</v>
      </c>
      <c r="CG1" s="128"/>
      <c r="CH1" s="128" t="s">
        <v>71</v>
      </c>
      <c r="CI1" s="128" t="s">
        <v>72</v>
      </c>
      <c r="CJ1" s="128"/>
      <c r="CK1" s="128" t="s">
        <v>73</v>
      </c>
      <c r="CL1" s="128"/>
      <c r="CM1" s="128" t="s">
        <v>74</v>
      </c>
      <c r="CN1" s="128"/>
      <c r="CO1" s="128" t="s">
        <v>75</v>
      </c>
      <c r="CP1" s="128" t="s">
        <v>76</v>
      </c>
      <c r="CQ1" s="128" t="s">
        <v>77</v>
      </c>
      <c r="CR1" s="128" t="s">
        <v>78</v>
      </c>
      <c r="CS1" s="132" t="s">
        <v>79</v>
      </c>
      <c r="CT1" s="132" t="s">
        <v>80</v>
      </c>
      <c r="CU1" s="132" t="s">
        <v>81</v>
      </c>
      <c r="CV1" s="132" t="s">
        <v>82</v>
      </c>
      <c r="CW1" s="132"/>
      <c r="CX1" s="132" t="s">
        <v>83</v>
      </c>
      <c r="CY1" s="132"/>
      <c r="CZ1" s="132" t="s">
        <v>84</v>
      </c>
      <c r="DA1" s="132"/>
      <c r="DB1" s="132" t="s">
        <v>85</v>
      </c>
      <c r="DC1" s="132"/>
      <c r="DD1" s="128" t="s">
        <v>86</v>
      </c>
      <c r="DE1" s="128" t="s">
        <v>87</v>
      </c>
      <c r="DF1" s="128"/>
      <c r="DG1" s="128" t="s">
        <v>88</v>
      </c>
      <c r="DH1" s="128" t="s">
        <v>89</v>
      </c>
      <c r="DI1" s="128"/>
      <c r="DJ1" s="128" t="s">
        <v>90</v>
      </c>
      <c r="DK1" s="128" t="s">
        <v>91</v>
      </c>
      <c r="DL1" s="128"/>
      <c r="DM1" s="128" t="s">
        <v>92</v>
      </c>
      <c r="DN1" s="128" t="s">
        <v>93</v>
      </c>
      <c r="DO1" s="128"/>
      <c r="DP1" s="128" t="s">
        <v>94</v>
      </c>
      <c r="DQ1" s="128" t="s">
        <v>95</v>
      </c>
      <c r="DR1" s="128"/>
      <c r="DS1" s="128"/>
      <c r="DT1" s="128" t="s">
        <v>96</v>
      </c>
      <c r="DU1" s="128"/>
      <c r="DV1" s="132" t="s">
        <v>97</v>
      </c>
      <c r="DW1" s="132"/>
      <c r="DX1" s="132" t="s">
        <v>98</v>
      </c>
      <c r="DY1" s="132" t="s">
        <v>99</v>
      </c>
      <c r="DZ1" s="132" t="s">
        <v>100</v>
      </c>
      <c r="EA1" s="128" t="s">
        <v>101</v>
      </c>
      <c r="EB1" s="128" t="s">
        <v>102</v>
      </c>
      <c r="EC1" s="128"/>
      <c r="ED1" s="130" t="s">
        <v>103</v>
      </c>
      <c r="EE1" s="130" t="s">
        <v>104</v>
      </c>
      <c r="EF1" s="130" t="s">
        <v>105</v>
      </c>
      <c r="EG1" s="130" t="s">
        <v>106</v>
      </c>
      <c r="EH1" s="130" t="s">
        <v>107</v>
      </c>
      <c r="EI1" s="130" t="s">
        <v>108</v>
      </c>
      <c r="EJ1" s="130" t="s">
        <v>109</v>
      </c>
      <c r="EK1" s="128" t="s">
        <v>110</v>
      </c>
      <c r="EL1" s="128" t="s">
        <v>111</v>
      </c>
      <c r="EM1" s="128" t="s">
        <v>112</v>
      </c>
      <c r="EN1" s="128" t="s">
        <v>113</v>
      </c>
      <c r="EO1" s="128" t="s">
        <v>114</v>
      </c>
      <c r="EP1" s="128" t="s">
        <v>115</v>
      </c>
      <c r="EQ1" s="128" t="s">
        <v>116</v>
      </c>
      <c r="ER1" s="130" t="s">
        <v>117</v>
      </c>
      <c r="ES1" s="130" t="s">
        <v>118</v>
      </c>
      <c r="ET1" s="130" t="s">
        <v>119</v>
      </c>
      <c r="EU1" s="128" t="s">
        <v>120</v>
      </c>
      <c r="EV1" s="130" t="s">
        <v>121</v>
      </c>
      <c r="EW1" s="130" t="s">
        <v>122</v>
      </c>
      <c r="EX1" s="130" t="s">
        <v>123</v>
      </c>
      <c r="EY1" s="130" t="s">
        <v>124</v>
      </c>
      <c r="EZ1" s="128" t="s">
        <v>125</v>
      </c>
      <c r="FA1" s="132" t="s">
        <v>126</v>
      </c>
      <c r="FB1" s="130" t="s">
        <v>127</v>
      </c>
      <c r="FC1" s="130" t="s">
        <v>128</v>
      </c>
      <c r="FD1" s="133" t="s">
        <v>129</v>
      </c>
      <c r="FE1" s="128" t="s">
        <v>130</v>
      </c>
      <c r="FF1" s="133" t="s">
        <v>131</v>
      </c>
      <c r="FG1" s="128" t="s">
        <v>132</v>
      </c>
      <c r="FH1" s="133" t="s">
        <v>133</v>
      </c>
      <c r="FI1" s="128" t="s">
        <v>134</v>
      </c>
      <c r="FJ1" s="133" t="s">
        <v>135</v>
      </c>
      <c r="FK1" s="128" t="s">
        <v>136</v>
      </c>
      <c r="FL1" s="133" t="s">
        <v>137</v>
      </c>
      <c r="FM1" s="128" t="s">
        <v>138</v>
      </c>
      <c r="FN1" s="133" t="s">
        <v>139</v>
      </c>
      <c r="FO1" s="128" t="s">
        <v>140</v>
      </c>
      <c r="FP1" s="133" t="s">
        <v>141</v>
      </c>
      <c r="FQ1" s="128" t="s">
        <v>142</v>
      </c>
      <c r="FR1" s="130" t="s">
        <v>143</v>
      </c>
      <c r="FS1" s="130" t="s">
        <v>144</v>
      </c>
      <c r="FT1" s="128" t="s">
        <v>145</v>
      </c>
      <c r="FU1" s="130" t="s">
        <v>146</v>
      </c>
      <c r="FV1" s="130" t="s">
        <v>147</v>
      </c>
      <c r="FW1" s="130" t="s">
        <v>148</v>
      </c>
      <c r="FX1" s="128" t="s">
        <v>149</v>
      </c>
      <c r="FY1" s="128" t="s">
        <v>150</v>
      </c>
      <c r="FZ1" s="128" t="s">
        <v>151</v>
      </c>
      <c r="GA1" s="128"/>
      <c r="GB1" s="128" t="s">
        <v>152</v>
      </c>
      <c r="GC1" s="128" t="s">
        <v>153</v>
      </c>
      <c r="GD1" s="128" t="s">
        <v>154</v>
      </c>
      <c r="GE1" s="128" t="s">
        <v>155</v>
      </c>
      <c r="GF1" s="128" t="s">
        <v>156</v>
      </c>
      <c r="GG1" s="128" t="s">
        <v>157</v>
      </c>
      <c r="GH1" s="128" t="s">
        <v>158</v>
      </c>
      <c r="GI1" s="132" t="s">
        <v>159</v>
      </c>
      <c r="GJ1" s="132" t="s">
        <v>160</v>
      </c>
      <c r="GK1" s="132" t="s">
        <v>161</v>
      </c>
      <c r="GL1" s="132" t="s">
        <v>162</v>
      </c>
      <c r="GM1" s="132" t="s">
        <v>163</v>
      </c>
      <c r="GN1" s="134" t="s">
        <v>164</v>
      </c>
      <c r="GO1" s="134" t="s">
        <v>165</v>
      </c>
      <c r="GP1" s="134" t="s">
        <v>166</v>
      </c>
      <c r="GQ1" s="134" t="s">
        <v>167</v>
      </c>
      <c r="GR1" s="128" t="s">
        <v>168</v>
      </c>
      <c r="GS1" s="128" t="s">
        <v>169</v>
      </c>
      <c r="GT1" s="128" t="s">
        <v>170</v>
      </c>
      <c r="GU1" s="128" t="s">
        <v>171</v>
      </c>
      <c r="GV1" s="128" t="s">
        <v>172</v>
      </c>
      <c r="GW1" s="128" t="s">
        <v>173</v>
      </c>
      <c r="GX1" s="128" t="s">
        <v>174</v>
      </c>
      <c r="GY1" s="128" t="s">
        <v>175</v>
      </c>
      <c r="GZ1" s="128" t="s">
        <v>176</v>
      </c>
      <c r="HA1" s="128" t="s">
        <v>177</v>
      </c>
      <c r="HB1" s="130" t="s">
        <v>178</v>
      </c>
      <c r="HC1" s="130" t="s">
        <v>179</v>
      </c>
      <c r="HD1" s="130" t="s">
        <v>180</v>
      </c>
      <c r="HE1" s="130" t="s">
        <v>181</v>
      </c>
      <c r="HF1" s="130" t="s">
        <v>182</v>
      </c>
      <c r="HG1" s="128" t="s">
        <v>183</v>
      </c>
      <c r="HH1" s="128" t="s">
        <v>184</v>
      </c>
      <c r="HI1" s="128" t="s">
        <v>185</v>
      </c>
      <c r="HJ1" s="128" t="s">
        <v>186</v>
      </c>
      <c r="HK1" s="128" t="s">
        <v>187</v>
      </c>
      <c r="HL1" s="122" t="s">
        <v>188</v>
      </c>
      <c r="HM1" s="122" t="s">
        <v>189</v>
      </c>
      <c r="HN1" s="122" t="s">
        <v>190</v>
      </c>
      <c r="HO1" s="122" t="s">
        <v>191</v>
      </c>
      <c r="HP1" s="122" t="s">
        <v>192</v>
      </c>
      <c r="HQ1" s="122" t="s">
        <v>193</v>
      </c>
      <c r="HR1" s="122" t="s">
        <v>194</v>
      </c>
      <c r="HS1" s="122" t="s">
        <v>195</v>
      </c>
    </row>
    <row r="2" s="122" customFormat="1" ht="126" customHeight="1" spans="1:227">
      <c r="A2" s="211" t="s">
        <v>196</v>
      </c>
      <c r="B2" s="128" t="s">
        <v>197</v>
      </c>
      <c r="C2" s="128" t="s">
        <v>198</v>
      </c>
      <c r="D2" s="128" t="s">
        <v>199</v>
      </c>
      <c r="E2" s="128"/>
      <c r="F2" s="128" t="s">
        <v>200</v>
      </c>
      <c r="G2" s="122" t="s">
        <v>201</v>
      </c>
      <c r="H2" s="122" t="s">
        <v>202</v>
      </c>
      <c r="I2" s="122"/>
      <c r="J2" s="122" t="s">
        <v>203</v>
      </c>
      <c r="K2" s="128"/>
      <c r="L2" s="128" t="s">
        <v>204</v>
      </c>
      <c r="M2" s="128" t="s">
        <v>204</v>
      </c>
      <c r="N2" s="128"/>
      <c r="O2" s="128"/>
      <c r="P2" s="128"/>
      <c r="Q2" s="128"/>
      <c r="R2" s="128" t="s">
        <v>205</v>
      </c>
      <c r="S2" s="129"/>
      <c r="T2" s="129"/>
      <c r="U2" s="129"/>
      <c r="V2" s="129"/>
      <c r="W2" s="130" t="s">
        <v>206</v>
      </c>
      <c r="X2" s="130"/>
      <c r="Y2" s="130"/>
      <c r="Z2" s="130"/>
      <c r="AA2" s="130"/>
      <c r="AB2" s="130" t="s">
        <v>207</v>
      </c>
      <c r="AC2" s="128"/>
      <c r="AD2" s="128"/>
      <c r="AE2" s="128"/>
      <c r="AF2" s="128"/>
      <c r="AG2" s="128"/>
      <c r="AH2" s="128"/>
      <c r="AI2" s="128" t="s">
        <v>208</v>
      </c>
      <c r="AJ2" s="130"/>
      <c r="AK2" s="130"/>
      <c r="AL2" s="130"/>
      <c r="AM2" s="130"/>
      <c r="AN2" s="130" t="s">
        <v>209</v>
      </c>
      <c r="AO2" s="130"/>
      <c r="AP2" s="130"/>
      <c r="AQ2" s="130"/>
      <c r="AR2" s="130" t="s">
        <v>210</v>
      </c>
      <c r="AS2" s="130"/>
      <c r="AT2" s="130"/>
      <c r="AU2" s="130"/>
      <c r="AV2" s="130"/>
      <c r="AW2" s="130" t="s">
        <v>211</v>
      </c>
      <c r="AX2" s="128"/>
      <c r="AY2" s="128"/>
      <c r="AZ2" s="128" t="s">
        <v>212</v>
      </c>
      <c r="BA2" s="128"/>
      <c r="BB2" s="128"/>
      <c r="BC2" s="128"/>
      <c r="BD2" s="128"/>
      <c r="BE2" s="128" t="s">
        <v>213</v>
      </c>
      <c r="BF2" s="130"/>
      <c r="BG2" s="130"/>
      <c r="BH2" s="130"/>
      <c r="BI2" s="130"/>
      <c r="BJ2" s="130"/>
      <c r="BK2" s="130"/>
      <c r="BL2" s="130"/>
      <c r="BM2" s="130" t="s">
        <v>214</v>
      </c>
      <c r="BN2" s="130" t="s">
        <v>215</v>
      </c>
      <c r="BO2" s="135" t="s">
        <v>216</v>
      </c>
      <c r="BP2" s="130" t="s">
        <v>217</v>
      </c>
      <c r="BQ2" s="130" t="s">
        <v>218</v>
      </c>
      <c r="BR2" s="130" t="s">
        <v>219</v>
      </c>
      <c r="BS2" s="131"/>
      <c r="BT2" s="131"/>
      <c r="BU2" s="131"/>
      <c r="BV2" s="131"/>
      <c r="BW2" s="131"/>
      <c r="BX2" s="131"/>
      <c r="BY2" s="131"/>
      <c r="BZ2" s="131" t="s">
        <v>220</v>
      </c>
      <c r="CA2" s="128" t="s">
        <v>221</v>
      </c>
      <c r="CB2" s="128" t="s">
        <v>222</v>
      </c>
      <c r="CC2" s="128" t="s">
        <v>223</v>
      </c>
      <c r="CD2" s="128" t="s">
        <v>224</v>
      </c>
      <c r="CE2" s="128" t="s">
        <v>225</v>
      </c>
      <c r="CF2" s="128" t="s">
        <v>226</v>
      </c>
      <c r="CG2" s="128" t="s">
        <v>227</v>
      </c>
      <c r="CH2" s="128" t="s">
        <v>228</v>
      </c>
      <c r="CI2" s="128"/>
      <c r="CJ2" s="128" t="s">
        <v>229</v>
      </c>
      <c r="CK2" s="128" t="s">
        <v>230</v>
      </c>
      <c r="CL2" s="128" t="s">
        <v>231</v>
      </c>
      <c r="CM2" s="128" t="s">
        <v>232</v>
      </c>
      <c r="CN2" s="128" t="s">
        <v>233</v>
      </c>
      <c r="CO2" s="128" t="s">
        <v>234</v>
      </c>
      <c r="CP2" s="128" t="s">
        <v>235</v>
      </c>
      <c r="CQ2" s="133" t="s">
        <v>236</v>
      </c>
      <c r="CR2" s="128" t="s">
        <v>237</v>
      </c>
      <c r="CS2" s="128" t="s">
        <v>238</v>
      </c>
      <c r="CT2" s="132"/>
      <c r="CU2" s="132"/>
      <c r="CV2" s="132"/>
      <c r="CW2" s="132" t="s">
        <v>239</v>
      </c>
      <c r="CX2" s="132"/>
      <c r="CY2" s="132" t="s">
        <v>240</v>
      </c>
      <c r="CZ2" s="132"/>
      <c r="DA2" s="132" t="s">
        <v>241</v>
      </c>
      <c r="DB2" s="132"/>
      <c r="DC2" s="132" t="s">
        <v>242</v>
      </c>
      <c r="DD2" s="136"/>
      <c r="DE2" s="128"/>
      <c r="DF2" s="128" t="s">
        <v>243</v>
      </c>
      <c r="DG2" s="128"/>
      <c r="DH2" s="128"/>
      <c r="DI2" s="128" t="s">
        <v>244</v>
      </c>
      <c r="DJ2" s="128"/>
      <c r="DK2" s="128"/>
      <c r="DL2" s="128" t="s">
        <v>245</v>
      </c>
      <c r="DM2" s="136"/>
      <c r="DN2" s="128"/>
      <c r="DO2" s="128" t="s">
        <v>246</v>
      </c>
      <c r="DP2" s="128"/>
      <c r="DQ2" s="128"/>
      <c r="DR2" s="128" t="s">
        <v>247</v>
      </c>
      <c r="DS2" s="133" t="s">
        <v>248</v>
      </c>
      <c r="DT2" s="128"/>
      <c r="DU2" s="128" t="s">
        <v>249</v>
      </c>
      <c r="DV2" s="132"/>
      <c r="DW2" s="132" t="s">
        <v>250</v>
      </c>
      <c r="DX2" s="132"/>
      <c r="DY2" s="132"/>
      <c r="DZ2" s="132" t="s">
        <v>251</v>
      </c>
      <c r="EA2" s="128"/>
      <c r="EB2" s="128"/>
      <c r="EC2" s="128" t="s">
        <v>252</v>
      </c>
      <c r="ED2" s="130"/>
      <c r="EE2" s="130"/>
      <c r="EF2" s="130"/>
      <c r="EG2" s="130"/>
      <c r="EH2" s="130" t="s">
        <v>253</v>
      </c>
      <c r="EI2" s="130"/>
      <c r="EJ2" s="130" t="s">
        <v>254</v>
      </c>
      <c r="EK2" s="128"/>
      <c r="EL2" s="128" t="s">
        <v>255</v>
      </c>
      <c r="EM2" s="128"/>
      <c r="EN2" s="128"/>
      <c r="EO2" s="128"/>
      <c r="EP2" s="128"/>
      <c r="EQ2" s="128" t="s">
        <v>256</v>
      </c>
      <c r="ER2" s="130"/>
      <c r="ES2" s="130" t="s">
        <v>257</v>
      </c>
      <c r="ET2" s="130" t="s">
        <v>258</v>
      </c>
      <c r="EU2" s="128" t="s">
        <v>259</v>
      </c>
      <c r="EV2" s="130"/>
      <c r="EW2" s="130"/>
      <c r="EX2" s="130"/>
      <c r="EY2" s="130" t="s">
        <v>260</v>
      </c>
      <c r="EZ2" s="128" t="s">
        <v>261</v>
      </c>
      <c r="FA2" s="132" t="s">
        <v>262</v>
      </c>
      <c r="FB2" s="130"/>
      <c r="FC2" s="130" t="s">
        <v>263</v>
      </c>
      <c r="FD2" s="133" t="s">
        <v>264</v>
      </c>
      <c r="FE2" s="128" t="s">
        <v>265</v>
      </c>
      <c r="FF2" s="133" t="s">
        <v>266</v>
      </c>
      <c r="FG2" s="128" t="s">
        <v>265</v>
      </c>
      <c r="FH2" s="133" t="s">
        <v>267</v>
      </c>
      <c r="FI2" s="128" t="s">
        <v>265</v>
      </c>
      <c r="FJ2" s="133" t="s">
        <v>268</v>
      </c>
      <c r="FK2" s="128" t="s">
        <v>265</v>
      </c>
      <c r="FL2" s="133" t="s">
        <v>269</v>
      </c>
      <c r="FM2" s="128" t="s">
        <v>265</v>
      </c>
      <c r="FN2" s="133" t="s">
        <v>270</v>
      </c>
      <c r="FO2" s="128" t="s">
        <v>265</v>
      </c>
      <c r="FP2" s="133" t="s">
        <v>271</v>
      </c>
      <c r="FQ2" s="128" t="s">
        <v>265</v>
      </c>
      <c r="FR2" s="130"/>
      <c r="FS2" s="130" t="s">
        <v>272</v>
      </c>
      <c r="FT2" s="128" t="s">
        <v>273</v>
      </c>
      <c r="FU2" s="130"/>
      <c r="FV2" s="130" t="s">
        <v>274</v>
      </c>
      <c r="FW2" s="130" t="s">
        <v>275</v>
      </c>
      <c r="FX2" s="128"/>
      <c r="FY2" s="128"/>
      <c r="FZ2" s="128"/>
      <c r="GA2" s="128" t="s">
        <v>276</v>
      </c>
      <c r="GB2" s="128" t="s">
        <v>277</v>
      </c>
      <c r="GC2" s="128"/>
      <c r="GD2" s="128"/>
      <c r="GE2" s="128" t="s">
        <v>278</v>
      </c>
      <c r="GF2" s="128" t="s">
        <v>279</v>
      </c>
      <c r="GG2" s="128"/>
      <c r="GH2" s="128" t="s">
        <v>280</v>
      </c>
      <c r="GI2" s="132"/>
      <c r="GJ2" s="132"/>
      <c r="GK2" s="132" t="s">
        <v>281</v>
      </c>
      <c r="GL2" s="132"/>
      <c r="GM2" s="132" t="s">
        <v>282</v>
      </c>
      <c r="GN2" s="134"/>
      <c r="GO2" s="134"/>
      <c r="GP2" s="134"/>
      <c r="GQ2" s="134" t="s">
        <v>283</v>
      </c>
      <c r="GR2" s="128"/>
      <c r="GS2" s="128" t="s">
        <v>284</v>
      </c>
      <c r="GT2" s="128"/>
      <c r="GU2" s="128"/>
      <c r="GV2" s="128" t="s">
        <v>285</v>
      </c>
      <c r="GW2" s="128"/>
      <c r="GX2" s="128"/>
      <c r="GY2" s="128"/>
      <c r="GZ2" s="128"/>
      <c r="HA2" s="128" t="s">
        <v>286</v>
      </c>
      <c r="HB2" s="130"/>
      <c r="HC2" s="130"/>
      <c r="HD2" s="130"/>
      <c r="HE2" s="130"/>
      <c r="HF2" s="130" t="s">
        <v>287</v>
      </c>
      <c r="HG2" s="128"/>
      <c r="HH2" s="128"/>
      <c r="HI2" s="128"/>
      <c r="HJ2" s="128"/>
      <c r="HK2" s="128" t="s">
        <v>288</v>
      </c>
    </row>
    <row r="3" s="123" customFormat="1" ht="15" spans="1:227">
      <c r="A3" s="137" t="s">
        <v>289</v>
      </c>
      <c r="B3" s="138" t="s">
        <v>290</v>
      </c>
      <c r="C3" s="138" t="s">
        <v>291</v>
      </c>
      <c r="D3" s="138" t="s">
        <v>292</v>
      </c>
      <c r="E3" s="139" t="s">
        <v>293</v>
      </c>
      <c r="F3" s="138" t="s">
        <v>294</v>
      </c>
      <c r="G3" s="140"/>
      <c r="H3" s="141">
        <v>340110988</v>
      </c>
      <c r="I3" s="142">
        <v>840.589674007069</v>
      </c>
      <c r="J3" s="212" t="s">
        <v>295</v>
      </c>
      <c r="K3" s="126">
        <v>4184.12582875799</v>
      </c>
      <c r="L3" s="123">
        <v>52011</v>
      </c>
      <c r="M3" s="123">
        <v>52011</v>
      </c>
      <c r="N3" s="123"/>
      <c r="O3" s="123"/>
      <c r="P3" s="123"/>
      <c r="Q3" s="123"/>
      <c r="R3" s="123">
        <v>108317</v>
      </c>
      <c r="S3" s="123"/>
      <c r="T3" s="123"/>
      <c r="U3" s="123"/>
      <c r="V3" s="123"/>
      <c r="W3" s="123">
        <v>4702</v>
      </c>
      <c r="X3" s="123"/>
      <c r="Y3" s="123"/>
      <c r="Z3" s="123"/>
      <c r="AA3" s="123"/>
      <c r="AB3" s="123">
        <v>467</v>
      </c>
      <c r="AC3" s="123"/>
      <c r="AD3" s="123"/>
      <c r="AE3" s="123"/>
      <c r="AF3" s="123"/>
      <c r="AG3" s="123"/>
      <c r="AH3" s="123"/>
      <c r="AI3" s="123">
        <v>4087</v>
      </c>
      <c r="AJ3" s="123"/>
      <c r="AK3" s="123"/>
      <c r="AL3" s="123"/>
      <c r="AM3" s="123"/>
      <c r="AN3" s="123">
        <v>6698604.97</v>
      </c>
      <c r="AO3" s="123"/>
      <c r="AP3" s="123"/>
      <c r="AQ3" s="123"/>
      <c r="AR3" s="123">
        <v>10642950.1682</v>
      </c>
      <c r="AS3" s="126"/>
      <c r="AT3" s="126"/>
      <c r="AU3" s="126"/>
      <c r="AV3" s="126"/>
      <c r="AW3" s="126">
        <v>96.7</v>
      </c>
      <c r="AX3" s="126"/>
      <c r="AY3" s="126"/>
      <c r="AZ3" s="123">
        <v>109.8</v>
      </c>
      <c r="BA3" s="123"/>
      <c r="BB3" s="123"/>
      <c r="BC3" s="123"/>
      <c r="BD3" s="123"/>
      <c r="BE3" s="123">
        <v>1073</v>
      </c>
      <c r="BF3" s="123"/>
      <c r="BG3" s="123"/>
      <c r="BH3" s="123"/>
      <c r="BI3" s="123"/>
      <c r="BJ3" s="123"/>
      <c r="BK3" s="123"/>
      <c r="BL3" s="123"/>
      <c r="BM3" s="123">
        <v>820</v>
      </c>
      <c r="BN3" s="123">
        <v>1095</v>
      </c>
      <c r="BO3" s="123">
        <v>1142</v>
      </c>
      <c r="BP3" s="139">
        <v>3074</v>
      </c>
      <c r="BQ3" s="139">
        <v>108</v>
      </c>
      <c r="BR3" s="123">
        <f>SUM(BM3,BN3,BP3,BQ3)</f>
        <v>5097</v>
      </c>
      <c r="BS3" s="139"/>
      <c r="BT3" s="139"/>
      <c r="BU3" s="139"/>
      <c r="BV3" s="139"/>
      <c r="BW3" s="139"/>
      <c r="BX3" s="139"/>
      <c r="BY3" s="139"/>
      <c r="BZ3" s="139">
        <v>75.49</v>
      </c>
      <c r="CA3" s="139">
        <v>47.39</v>
      </c>
      <c r="CB3" s="139">
        <v>87.74</v>
      </c>
      <c r="CC3" s="139">
        <v>90.57</v>
      </c>
      <c r="CD3" s="139">
        <v>88.68</v>
      </c>
      <c r="CE3" s="139">
        <v>83.02</v>
      </c>
      <c r="CF3" s="139">
        <v>78.815</v>
      </c>
      <c r="CG3" s="123">
        <v>0.938</v>
      </c>
      <c r="CH3" s="123">
        <v>93.8</v>
      </c>
      <c r="CI3" s="123">
        <v>86.3075</v>
      </c>
      <c r="CJ3" s="123">
        <v>0.766104093002294</v>
      </c>
      <c r="CK3" s="123">
        <v>76.6104093002294</v>
      </c>
      <c r="CL3" s="123">
        <v>0.91945</v>
      </c>
      <c r="CM3" s="123">
        <v>91.945</v>
      </c>
      <c r="CN3" s="123">
        <v>0.9452</v>
      </c>
      <c r="CO3" s="123">
        <v>94.52</v>
      </c>
      <c r="CP3" s="123">
        <v>99.86</v>
      </c>
      <c r="CQ3" s="123"/>
      <c r="CR3" s="123">
        <v>90.7338523250574</v>
      </c>
      <c r="CS3" s="123">
        <v>75.1916685422421</v>
      </c>
      <c r="CT3" s="143"/>
      <c r="CU3" s="143"/>
      <c r="CV3" s="143"/>
      <c r="CW3" s="143">
        <v>1</v>
      </c>
      <c r="CX3" s="143">
        <v>100</v>
      </c>
      <c r="CY3" s="143">
        <v>1</v>
      </c>
      <c r="CZ3" s="143">
        <v>100</v>
      </c>
      <c r="DA3" s="143">
        <v>1</v>
      </c>
      <c r="DB3" s="143">
        <v>100</v>
      </c>
      <c r="DC3" s="143">
        <v>1</v>
      </c>
      <c r="DD3" s="123">
        <v>100</v>
      </c>
      <c r="DE3" s="144"/>
      <c r="DF3" s="144">
        <v>1</v>
      </c>
      <c r="DG3" s="144">
        <v>100</v>
      </c>
      <c r="DH3" s="144">
        <v>100</v>
      </c>
      <c r="DI3" s="144">
        <v>1</v>
      </c>
      <c r="DJ3" s="143">
        <v>100</v>
      </c>
      <c r="DK3" s="144"/>
      <c r="DL3" s="144">
        <v>1</v>
      </c>
      <c r="DM3" s="123">
        <v>100</v>
      </c>
      <c r="DN3" s="143"/>
      <c r="DO3" s="143">
        <v>1</v>
      </c>
      <c r="DP3" s="143">
        <v>100</v>
      </c>
      <c r="DQ3" s="143"/>
      <c r="DR3" s="143">
        <v>2</v>
      </c>
      <c r="DS3" s="145">
        <v>1</v>
      </c>
      <c r="DT3" s="143">
        <v>100</v>
      </c>
      <c r="DU3" s="143">
        <v>1</v>
      </c>
      <c r="DV3" s="146">
        <v>100</v>
      </c>
      <c r="DW3" s="146">
        <v>0</v>
      </c>
      <c r="DX3" s="147">
        <v>0</v>
      </c>
      <c r="DY3" s="147">
        <v>66.6666666666667</v>
      </c>
      <c r="DZ3" s="147">
        <v>6</v>
      </c>
      <c r="EA3" s="126"/>
      <c r="EB3" s="126"/>
      <c r="EC3" s="123">
        <v>2</v>
      </c>
      <c r="ED3" s="123">
        <v>100</v>
      </c>
      <c r="EE3" s="123"/>
      <c r="EF3" s="123"/>
      <c r="EG3" s="123"/>
      <c r="EH3" s="148">
        <v>478</v>
      </c>
      <c r="EI3" s="123"/>
      <c r="EJ3" s="123">
        <v>465</v>
      </c>
      <c r="EK3" s="123"/>
      <c r="EL3" s="123">
        <v>31.3</v>
      </c>
      <c r="EM3" s="140"/>
      <c r="EN3" s="140"/>
      <c r="EO3" s="140"/>
      <c r="EP3" s="140"/>
      <c r="EQ3" s="140">
        <v>0.84</v>
      </c>
      <c r="ER3" s="123">
        <v>84</v>
      </c>
      <c r="ES3" s="123">
        <v>0.66</v>
      </c>
      <c r="ET3" s="123">
        <v>0.44</v>
      </c>
      <c r="EU3" s="123">
        <v>65.53</v>
      </c>
      <c r="EV3" s="123">
        <v>58.51</v>
      </c>
      <c r="EW3" s="123"/>
      <c r="EX3" s="123"/>
      <c r="EY3" s="123">
        <v>0.42</v>
      </c>
      <c r="EZ3" s="123">
        <v>0.38</v>
      </c>
      <c r="FA3" s="123">
        <v>33.4</v>
      </c>
      <c r="FB3" s="123">
        <v>37.8</v>
      </c>
      <c r="FC3" s="123">
        <v>0.57</v>
      </c>
      <c r="FD3" s="123">
        <v>0.17</v>
      </c>
      <c r="FE3" s="123">
        <v>0.2</v>
      </c>
      <c r="FF3" s="123">
        <v>0.4</v>
      </c>
      <c r="FG3" s="123">
        <v>0.3</v>
      </c>
      <c r="FH3" s="123">
        <v>0.45</v>
      </c>
      <c r="FI3" s="123">
        <v>0.27</v>
      </c>
      <c r="FJ3" s="123">
        <v>0.31</v>
      </c>
      <c r="FK3" s="123">
        <v>0.43</v>
      </c>
      <c r="FL3" s="123">
        <v>0.33</v>
      </c>
      <c r="FM3" s="123">
        <v>0.41</v>
      </c>
      <c r="FN3" s="123">
        <v>0.2</v>
      </c>
      <c r="FO3" s="123">
        <v>0.25</v>
      </c>
      <c r="FP3" s="123">
        <v>0.28</v>
      </c>
      <c r="FQ3" s="123">
        <v>0.25</v>
      </c>
      <c r="FR3" s="123">
        <v>32.1333333333333</v>
      </c>
      <c r="FS3" s="123">
        <v>0.33</v>
      </c>
      <c r="FT3" s="149">
        <v>0.37</v>
      </c>
      <c r="FU3" s="150">
        <v>35</v>
      </c>
      <c r="FV3" s="150">
        <v>33</v>
      </c>
      <c r="FW3" s="123">
        <v>38</v>
      </c>
      <c r="FX3" s="145">
        <v>35.5</v>
      </c>
      <c r="FY3" s="151"/>
      <c r="FZ3" s="151"/>
      <c r="GA3" s="151">
        <v>2.725023</v>
      </c>
      <c r="GB3" s="123">
        <v>0.366969379707988</v>
      </c>
      <c r="GC3" s="123"/>
      <c r="GD3" s="123">
        <v>36.6969379707988</v>
      </c>
      <c r="GE3" s="123">
        <v>1</v>
      </c>
      <c r="GF3" s="123">
        <v>1</v>
      </c>
      <c r="GG3" s="126">
        <v>100</v>
      </c>
      <c r="GH3" s="123"/>
      <c r="GI3" s="123"/>
      <c r="GJ3" s="123"/>
      <c r="GK3" s="123">
        <v>83.77</v>
      </c>
      <c r="GL3" s="123">
        <v>83.77</v>
      </c>
      <c r="GM3" s="123">
        <v>89.48</v>
      </c>
      <c r="GN3" s="123">
        <v>89.48</v>
      </c>
      <c r="GO3" s="123"/>
      <c r="GP3" s="123"/>
      <c r="GQ3" s="123">
        <v>425</v>
      </c>
      <c r="GR3" s="123"/>
      <c r="GS3" s="123">
        <v>220</v>
      </c>
      <c r="GT3" s="123"/>
      <c r="GU3" s="123"/>
      <c r="GV3" s="123">
        <v>328635</v>
      </c>
      <c r="GW3" s="123"/>
      <c r="GX3" s="123"/>
      <c r="GY3" s="123"/>
      <c r="GZ3" s="123"/>
      <c r="HA3" s="123">
        <v>6106</v>
      </c>
      <c r="HB3" s="123"/>
      <c r="HC3" s="123"/>
      <c r="HD3" s="123"/>
      <c r="HE3" s="123"/>
      <c r="HF3" s="123">
        <v>3788</v>
      </c>
      <c r="HG3" s="123"/>
      <c r="HH3" s="123"/>
      <c r="HI3" s="123"/>
      <c r="HJ3" s="123"/>
      <c r="HK3" s="123">
        <v>2257</v>
      </c>
    </row>
    <row r="4" s="123" customFormat="1" ht="15" spans="1:227">
      <c r="A4" s="137" t="s">
        <v>296</v>
      </c>
      <c r="B4" s="138" t="s">
        <v>297</v>
      </c>
      <c r="C4" s="138" t="s">
        <v>298</v>
      </c>
      <c r="D4" s="138" t="s">
        <v>292</v>
      </c>
      <c r="E4" s="139" t="s">
        <v>293</v>
      </c>
      <c r="F4" s="138" t="s">
        <v>299</v>
      </c>
      <c r="G4" s="140"/>
      <c r="H4" s="141">
        <v>69226000</v>
      </c>
      <c r="I4" s="142">
        <v>171.093151429772</v>
      </c>
      <c r="J4" s="213" t="s">
        <v>300</v>
      </c>
      <c r="K4" s="126">
        <v>522.402542719811</v>
      </c>
      <c r="L4" s="123">
        <v>11698</v>
      </c>
      <c r="M4" s="123">
        <v>11698</v>
      </c>
      <c r="N4" s="123"/>
      <c r="O4" s="123"/>
      <c r="P4" s="123"/>
      <c r="Q4" s="123"/>
      <c r="R4" s="123">
        <v>18607</v>
      </c>
      <c r="S4" s="123"/>
      <c r="T4" s="123"/>
      <c r="U4" s="123"/>
      <c r="V4" s="123"/>
      <c r="W4" s="123">
        <v>92</v>
      </c>
      <c r="X4" s="123"/>
      <c r="Y4" s="123"/>
      <c r="Z4" s="123"/>
      <c r="AA4" s="123"/>
      <c r="AB4" s="123">
        <v>112</v>
      </c>
      <c r="AC4" s="153"/>
      <c r="AD4" s="153"/>
      <c r="AE4" s="153"/>
      <c r="AF4" s="153"/>
      <c r="AG4" s="153"/>
      <c r="AH4" s="153"/>
      <c r="AI4" s="153">
        <v>495</v>
      </c>
      <c r="AJ4" s="126"/>
      <c r="AK4" s="126"/>
      <c r="AL4" s="126"/>
      <c r="AM4" s="126"/>
      <c r="AN4" s="123">
        <v>394527.564</v>
      </c>
      <c r="AO4" s="123"/>
      <c r="AP4" s="123"/>
      <c r="AQ4" s="123"/>
      <c r="AR4" s="123">
        <v>540015.3336</v>
      </c>
      <c r="AS4" s="126"/>
      <c r="AT4" s="126"/>
      <c r="AU4" s="126"/>
      <c r="AV4" s="126"/>
      <c r="AW4" s="126">
        <v>93.6</v>
      </c>
      <c r="AX4" s="126"/>
      <c r="AY4" s="126"/>
      <c r="AZ4" s="123">
        <v>4.52</v>
      </c>
      <c r="BA4" s="123"/>
      <c r="BB4" s="123"/>
      <c r="BC4" s="123"/>
      <c r="BD4" s="123"/>
      <c r="BE4" s="123">
        <v>116</v>
      </c>
      <c r="BF4" s="123"/>
      <c r="BG4" s="123"/>
      <c r="BH4" s="123"/>
      <c r="BI4" s="123"/>
      <c r="BJ4" s="123"/>
      <c r="BK4" s="123"/>
      <c r="BL4" s="123"/>
      <c r="BM4" s="123">
        <v>42</v>
      </c>
      <c r="BN4" s="123">
        <v>238</v>
      </c>
      <c r="BO4" s="123">
        <v>205</v>
      </c>
      <c r="BP4" s="139">
        <v>506</v>
      </c>
      <c r="BQ4" s="139">
        <v>8</v>
      </c>
      <c r="BR4" s="123">
        <f t="shared" ref="BR4:BR35" si="0">SUM(BM4,BN4,BP4,BQ4)</f>
        <v>794</v>
      </c>
      <c r="BS4" s="139"/>
      <c r="BT4" s="139"/>
      <c r="BU4" s="139"/>
      <c r="BV4" s="139"/>
      <c r="BW4" s="139"/>
      <c r="BX4" s="139"/>
      <c r="BY4" s="139"/>
      <c r="BZ4" s="139">
        <v>90.2</v>
      </c>
      <c r="CA4" s="139">
        <v>62.09</v>
      </c>
      <c r="CB4" s="139">
        <v>84.43</v>
      </c>
      <c r="CC4" s="139">
        <v>92.92</v>
      </c>
      <c r="CD4" s="139">
        <v>89.15</v>
      </c>
      <c r="CE4" s="139">
        <v>90.57</v>
      </c>
      <c r="CF4" s="139">
        <v>84.8933333333333</v>
      </c>
      <c r="CG4" s="123">
        <v>0.946</v>
      </c>
      <c r="CH4" s="123">
        <v>94.6</v>
      </c>
      <c r="CI4" s="123">
        <v>89.7466666666666</v>
      </c>
      <c r="CJ4" s="123">
        <v>0.839958197441909</v>
      </c>
      <c r="CK4" s="123">
        <v>83.9958197441909</v>
      </c>
      <c r="CL4" s="123">
        <v>0.95773</v>
      </c>
      <c r="CM4" s="123">
        <v>95.773</v>
      </c>
      <c r="CN4" s="123">
        <v>0.9726</v>
      </c>
      <c r="CO4" s="123">
        <v>97.26</v>
      </c>
      <c r="CP4" s="123">
        <v>100</v>
      </c>
      <c r="CQ4" s="123"/>
      <c r="CR4" s="123">
        <v>94.2572049360477</v>
      </c>
      <c r="CS4" s="123">
        <v>81.8543345513963</v>
      </c>
      <c r="CT4" s="154"/>
      <c r="CU4" s="154"/>
      <c r="CV4" s="154"/>
      <c r="CW4" s="154">
        <v>1</v>
      </c>
      <c r="CX4" s="143">
        <v>100</v>
      </c>
      <c r="CY4" s="154">
        <v>1</v>
      </c>
      <c r="CZ4" s="143">
        <v>100</v>
      </c>
      <c r="DA4" s="154">
        <v>1</v>
      </c>
      <c r="DB4" s="143">
        <v>100</v>
      </c>
      <c r="DC4" s="154">
        <v>1</v>
      </c>
      <c r="DD4" s="123">
        <v>100</v>
      </c>
      <c r="DE4" s="155"/>
      <c r="DF4" s="144">
        <v>1</v>
      </c>
      <c r="DG4" s="144">
        <v>100</v>
      </c>
      <c r="DH4" s="144">
        <v>100</v>
      </c>
      <c r="DI4" s="144">
        <v>1</v>
      </c>
      <c r="DJ4" s="143">
        <v>100</v>
      </c>
      <c r="DK4" s="144"/>
      <c r="DL4" s="144">
        <v>1</v>
      </c>
      <c r="DM4" s="123">
        <v>100</v>
      </c>
      <c r="DN4" s="156"/>
      <c r="DO4" s="156">
        <v>1</v>
      </c>
      <c r="DP4" s="143">
        <v>100</v>
      </c>
      <c r="DQ4" s="154"/>
      <c r="DR4" s="154">
        <v>1</v>
      </c>
      <c r="DS4" s="145">
        <v>1</v>
      </c>
      <c r="DT4" s="143">
        <v>100</v>
      </c>
      <c r="DU4" s="154">
        <v>1</v>
      </c>
      <c r="DV4" s="146">
        <v>100</v>
      </c>
      <c r="DW4" s="146">
        <v>1</v>
      </c>
      <c r="DX4" s="147">
        <v>100</v>
      </c>
      <c r="DY4" s="147">
        <v>100</v>
      </c>
      <c r="DZ4" s="157">
        <v>7</v>
      </c>
      <c r="EA4" s="126"/>
      <c r="EB4" s="126"/>
      <c r="EC4" s="123">
        <v>2</v>
      </c>
      <c r="ED4" s="123">
        <v>100</v>
      </c>
      <c r="EE4" s="123"/>
      <c r="EF4" s="123"/>
      <c r="EG4" s="123"/>
      <c r="EH4">
        <v>502</v>
      </c>
      <c r="EI4" s="123"/>
      <c r="EJ4" s="123">
        <v>489</v>
      </c>
      <c r="EK4" s="123"/>
      <c r="EL4" s="123">
        <v>4.3</v>
      </c>
      <c r="EM4" s="138"/>
      <c r="EN4" s="138"/>
      <c r="EO4" s="138"/>
      <c r="EP4" s="138"/>
      <c r="EQ4" s="214" t="s">
        <v>301</v>
      </c>
      <c r="ER4" s="123">
        <v>78.5681818181818</v>
      </c>
      <c r="ES4" s="123">
        <v>0.64</v>
      </c>
      <c r="ET4" s="123">
        <v>0.41</v>
      </c>
      <c r="EU4" s="123">
        <v>77.93</v>
      </c>
      <c r="EV4" s="123">
        <v>60.9766666666667</v>
      </c>
      <c r="EW4" s="123"/>
      <c r="EX4" s="123"/>
      <c r="EY4" s="123">
        <v>0.43</v>
      </c>
      <c r="EZ4" s="123">
        <v>0.37</v>
      </c>
      <c r="FA4" s="123">
        <v>25</v>
      </c>
      <c r="FB4" s="123">
        <v>35</v>
      </c>
      <c r="FC4" s="123">
        <v>0.52</v>
      </c>
      <c r="FD4" s="123">
        <v>0.2</v>
      </c>
      <c r="FE4" s="123">
        <v>0.2</v>
      </c>
      <c r="FF4" s="123">
        <v>0.4</v>
      </c>
      <c r="FG4" s="123">
        <v>0.3</v>
      </c>
      <c r="FH4" s="123">
        <v>0.41</v>
      </c>
      <c r="FI4" s="123">
        <v>0.34</v>
      </c>
      <c r="FJ4" s="123">
        <v>0.31</v>
      </c>
      <c r="FK4" s="123">
        <v>0.43</v>
      </c>
      <c r="FL4" s="123">
        <v>0.3</v>
      </c>
      <c r="FM4" s="123">
        <v>0.47</v>
      </c>
      <c r="FN4" s="123">
        <v>0.2</v>
      </c>
      <c r="FO4" s="123">
        <v>0.22</v>
      </c>
      <c r="FP4" s="123">
        <v>0.24</v>
      </c>
      <c r="FQ4" s="123">
        <v>0.34</v>
      </c>
      <c r="FR4" s="123">
        <v>32.5333333333333</v>
      </c>
      <c r="FS4" s="123">
        <v>0.33</v>
      </c>
      <c r="FT4" s="149">
        <v>0.38</v>
      </c>
      <c r="FU4" s="150">
        <v>35.5</v>
      </c>
      <c r="FV4" s="150">
        <v>37</v>
      </c>
      <c r="FW4" s="123">
        <v>41</v>
      </c>
      <c r="FX4" s="145">
        <v>39</v>
      </c>
      <c r="FY4" s="151"/>
      <c r="FZ4" s="151"/>
      <c r="GA4" s="151">
        <v>3.133385</v>
      </c>
      <c r="GB4" s="123">
        <v>0.319143673694742</v>
      </c>
      <c r="GC4" s="123"/>
      <c r="GD4" s="123">
        <v>31.9143673694742</v>
      </c>
      <c r="GE4" s="123">
        <v>1</v>
      </c>
      <c r="GF4" s="123">
        <v>1</v>
      </c>
      <c r="GG4" s="126">
        <v>100</v>
      </c>
      <c r="GH4" s="123">
        <v>12.41</v>
      </c>
      <c r="GI4" s="123"/>
      <c r="GJ4" s="123"/>
      <c r="GK4" s="123">
        <v>92.29</v>
      </c>
      <c r="GL4" s="123">
        <v>92.29</v>
      </c>
      <c r="GM4" s="123"/>
      <c r="GN4" s="123"/>
      <c r="GO4" s="123"/>
      <c r="GP4" s="123"/>
      <c r="GQ4" s="123">
        <v>39</v>
      </c>
      <c r="GR4" s="123"/>
      <c r="GS4" s="123">
        <v>32</v>
      </c>
      <c r="GT4" s="123"/>
      <c r="GU4" s="123"/>
      <c r="GV4" s="123">
        <v>45573</v>
      </c>
      <c r="GW4" s="123"/>
      <c r="GX4" s="123"/>
      <c r="GY4" s="123"/>
      <c r="GZ4" s="123"/>
      <c r="HA4" s="123">
        <v>1416</v>
      </c>
      <c r="HB4" s="123"/>
      <c r="HC4" s="123"/>
      <c r="HD4" s="123"/>
      <c r="HE4" s="123"/>
      <c r="HF4" s="123">
        <v>720</v>
      </c>
      <c r="HG4" s="123"/>
      <c r="HH4" s="123"/>
      <c r="HI4" s="123"/>
      <c r="HJ4" s="123"/>
      <c r="HK4" s="123">
        <v>597</v>
      </c>
    </row>
    <row r="5" s="123" customFormat="1" ht="15" spans="1:227">
      <c r="A5" s="137" t="s">
        <v>302</v>
      </c>
      <c r="B5" s="138" t="s">
        <v>303</v>
      </c>
      <c r="C5" s="138" t="s">
        <v>303</v>
      </c>
      <c r="D5" s="138" t="s">
        <v>292</v>
      </c>
      <c r="E5" s="139" t="s">
        <v>293</v>
      </c>
      <c r="F5" s="138" t="s">
        <v>304</v>
      </c>
      <c r="G5" s="140"/>
      <c r="H5" s="141">
        <v>68516699</v>
      </c>
      <c r="I5" s="142">
        <v>169.340102815056</v>
      </c>
      <c r="J5" s="139">
        <v>3162079073495.78</v>
      </c>
      <c r="K5" s="126">
        <v>453.335158158514</v>
      </c>
      <c r="L5" s="123">
        <v>5051</v>
      </c>
      <c r="M5" s="123">
        <v>5051</v>
      </c>
      <c r="N5" s="123"/>
      <c r="O5" s="123"/>
      <c r="P5" s="123"/>
      <c r="Q5" s="123"/>
      <c r="R5" s="123">
        <v>8225</v>
      </c>
      <c r="S5" s="123"/>
      <c r="T5" s="123"/>
      <c r="U5" s="123"/>
      <c r="V5" s="123"/>
      <c r="W5" s="123">
        <v>0</v>
      </c>
      <c r="X5" s="123"/>
      <c r="Y5" s="123"/>
      <c r="Z5" s="123"/>
      <c r="AA5" s="123"/>
      <c r="AB5" s="123">
        <v>38</v>
      </c>
      <c r="AC5" s="153"/>
      <c r="AD5" s="153"/>
      <c r="AE5" s="153"/>
      <c r="AF5" s="153"/>
      <c r="AG5" s="153"/>
      <c r="AH5" s="153"/>
      <c r="AI5" s="153">
        <v>320</v>
      </c>
      <c r="AJ5" s="126"/>
      <c r="AK5" s="126"/>
      <c r="AL5" s="126"/>
      <c r="AM5" s="126"/>
      <c r="AN5" s="123">
        <v>327543.5</v>
      </c>
      <c r="AO5" s="123"/>
      <c r="AP5" s="123"/>
      <c r="AQ5" s="123"/>
      <c r="AR5" s="123">
        <v>508630.042</v>
      </c>
      <c r="AS5" s="126"/>
      <c r="AT5" s="126"/>
      <c r="AU5" s="126"/>
      <c r="AV5" s="126"/>
      <c r="AW5" s="126">
        <v>89.8</v>
      </c>
      <c r="AX5" s="126"/>
      <c r="AY5" s="126"/>
      <c r="AZ5" s="123">
        <v>2.62</v>
      </c>
      <c r="BA5" s="123"/>
      <c r="BB5" s="123"/>
      <c r="BC5" s="123"/>
      <c r="BD5" s="123"/>
      <c r="BE5" s="123">
        <v>59</v>
      </c>
      <c r="BF5" s="123"/>
      <c r="BG5" s="123"/>
      <c r="BH5" s="123"/>
      <c r="BI5" s="123"/>
      <c r="BJ5" s="123"/>
      <c r="BK5" s="123"/>
      <c r="BL5" s="123"/>
      <c r="BM5" s="123">
        <v>7</v>
      </c>
      <c r="BN5" s="123">
        <v>38</v>
      </c>
      <c r="BO5" s="123">
        <v>66</v>
      </c>
      <c r="BP5" s="139">
        <v>155</v>
      </c>
      <c r="BQ5" s="139">
        <v>0</v>
      </c>
      <c r="BR5" s="123">
        <f t="shared" si="0"/>
        <v>200</v>
      </c>
      <c r="BS5" s="139"/>
      <c r="BT5" s="139"/>
      <c r="BU5" s="139"/>
      <c r="BV5" s="139"/>
      <c r="BW5" s="139"/>
      <c r="BX5" s="139"/>
      <c r="BY5" s="139"/>
      <c r="BZ5" s="139">
        <v>86.76</v>
      </c>
      <c r="CA5" s="139">
        <v>55.92</v>
      </c>
      <c r="CB5" s="139">
        <v>83.02</v>
      </c>
      <c r="CC5" s="139">
        <v>85.38</v>
      </c>
      <c r="CD5" s="139">
        <v>84.91</v>
      </c>
      <c r="CE5" s="139">
        <v>83.96</v>
      </c>
      <c r="CF5" s="139">
        <v>79.9916666666667</v>
      </c>
      <c r="CG5" s="123">
        <v>0.92</v>
      </c>
      <c r="CH5" s="123">
        <v>92</v>
      </c>
      <c r="CI5" s="123">
        <v>85.9958333333334</v>
      </c>
      <c r="CJ5" s="123">
        <v>0.945322851342252</v>
      </c>
      <c r="CK5" s="123">
        <v>94.5322851342252</v>
      </c>
      <c r="CL5" s="123">
        <v>0.87442</v>
      </c>
      <c r="CM5" s="123">
        <v>87.442</v>
      </c>
      <c r="CN5" s="123">
        <v>0.8082</v>
      </c>
      <c r="CO5" s="123">
        <v>80.82</v>
      </c>
      <c r="CP5" s="123">
        <v>98.98</v>
      </c>
      <c r="CQ5" s="123"/>
      <c r="CR5" s="123">
        <v>90.4435712835563</v>
      </c>
      <c r="CS5" s="123">
        <v>83.1392332845259</v>
      </c>
      <c r="CT5" s="154"/>
      <c r="CU5" s="154"/>
      <c r="CV5" s="154"/>
      <c r="CW5" s="154">
        <v>1</v>
      </c>
      <c r="CX5" s="143">
        <v>100</v>
      </c>
      <c r="CY5" s="154">
        <v>1</v>
      </c>
      <c r="CZ5" s="143">
        <v>100</v>
      </c>
      <c r="DA5" s="154">
        <v>1</v>
      </c>
      <c r="DB5" s="143">
        <v>100</v>
      </c>
      <c r="DC5" s="154">
        <v>1</v>
      </c>
      <c r="DD5" s="123">
        <v>100</v>
      </c>
      <c r="DE5" s="155"/>
      <c r="DF5" s="144">
        <v>1</v>
      </c>
      <c r="DG5" s="144">
        <v>100</v>
      </c>
      <c r="DH5" s="144">
        <v>100</v>
      </c>
      <c r="DI5" s="144">
        <v>1</v>
      </c>
      <c r="DJ5" s="143">
        <v>100</v>
      </c>
      <c r="DK5" s="144"/>
      <c r="DL5" s="144">
        <v>1</v>
      </c>
      <c r="DM5" s="123">
        <v>100</v>
      </c>
      <c r="DN5" s="158"/>
      <c r="DO5" s="158">
        <v>1</v>
      </c>
      <c r="DP5" s="143">
        <v>100</v>
      </c>
      <c r="DQ5" s="154"/>
      <c r="DR5" s="154">
        <v>2</v>
      </c>
      <c r="DS5" s="145">
        <v>1</v>
      </c>
      <c r="DT5" s="143">
        <v>100</v>
      </c>
      <c r="DU5" s="154">
        <v>1</v>
      </c>
      <c r="DV5" s="146">
        <v>100</v>
      </c>
      <c r="DW5" s="146">
        <v>1</v>
      </c>
      <c r="DX5" s="147">
        <v>100</v>
      </c>
      <c r="DY5" s="147">
        <v>100</v>
      </c>
      <c r="DZ5" s="157">
        <v>8</v>
      </c>
      <c r="EA5" s="126"/>
      <c r="EB5" s="126"/>
      <c r="EC5" s="123">
        <v>2</v>
      </c>
      <c r="ED5" s="123">
        <v>100</v>
      </c>
      <c r="EE5" s="123"/>
      <c r="EF5" s="123"/>
      <c r="EG5" s="123"/>
      <c r="EH5">
        <v>495</v>
      </c>
      <c r="EI5" s="123"/>
      <c r="EJ5" s="123">
        <v>474</v>
      </c>
      <c r="EK5" s="123"/>
      <c r="EL5" s="123">
        <v>2.1</v>
      </c>
      <c r="EM5" s="138"/>
      <c r="EN5" s="138"/>
      <c r="EO5" s="138"/>
      <c r="EP5" s="138"/>
      <c r="EQ5" s="214" t="s">
        <v>305</v>
      </c>
      <c r="ER5" s="123">
        <v>71.4318181818182</v>
      </c>
      <c r="ES5" s="123">
        <v>0.59</v>
      </c>
      <c r="ET5" s="123">
        <v>0.4</v>
      </c>
      <c r="EU5" s="123">
        <v>73.72</v>
      </c>
      <c r="EV5" s="123">
        <v>57.5733333333333</v>
      </c>
      <c r="EW5" s="123"/>
      <c r="EX5" s="123"/>
      <c r="EY5" s="123">
        <v>0.41</v>
      </c>
      <c r="EZ5" s="123">
        <v>0.4</v>
      </c>
      <c r="FA5" s="123">
        <v>24.4</v>
      </c>
      <c r="FB5" s="123">
        <v>35.1333333333333</v>
      </c>
      <c r="FC5" s="123">
        <v>0.55</v>
      </c>
      <c r="FD5" s="123">
        <v>0.19</v>
      </c>
      <c r="FE5" s="123">
        <v>0.14</v>
      </c>
      <c r="FF5" s="123">
        <v>0.33</v>
      </c>
      <c r="FG5" s="123">
        <v>0.35</v>
      </c>
      <c r="FH5" s="123">
        <v>0.5</v>
      </c>
      <c r="FI5" s="123">
        <v>0.27</v>
      </c>
      <c r="FJ5" s="123">
        <v>0.41</v>
      </c>
      <c r="FK5" s="123">
        <v>0.32</v>
      </c>
      <c r="FL5" s="123">
        <v>0.34</v>
      </c>
      <c r="FM5" s="123">
        <v>0.37</v>
      </c>
      <c r="FN5" s="123">
        <v>0.23</v>
      </c>
      <c r="FO5" s="123">
        <v>0.19</v>
      </c>
      <c r="FP5" s="123">
        <v>0.28</v>
      </c>
      <c r="FQ5" s="123">
        <v>0.24</v>
      </c>
      <c r="FR5" s="123">
        <v>31.4</v>
      </c>
      <c r="FS5" s="123">
        <v>0.31</v>
      </c>
      <c r="FT5" s="149">
        <v>0.38</v>
      </c>
      <c r="FU5" s="150">
        <v>34.5</v>
      </c>
      <c r="FV5" s="150">
        <v>26</v>
      </c>
      <c r="FW5" s="123">
        <v>45</v>
      </c>
      <c r="FX5" s="145">
        <v>35.5</v>
      </c>
      <c r="FY5" s="151"/>
      <c r="FZ5" s="151"/>
      <c r="GA5" s="151">
        <v>3.50454</v>
      </c>
      <c r="GB5" s="123">
        <v>0.285344153583637</v>
      </c>
      <c r="GC5" s="123"/>
      <c r="GD5" s="123">
        <v>28.5344153583637</v>
      </c>
      <c r="GE5" s="123">
        <v>1</v>
      </c>
      <c r="GF5" s="123">
        <v>1</v>
      </c>
      <c r="GG5" s="126">
        <v>100</v>
      </c>
      <c r="GH5" s="123">
        <v>12.83</v>
      </c>
      <c r="GI5" s="123"/>
      <c r="GJ5" s="123"/>
      <c r="GK5" s="123">
        <v>87.81</v>
      </c>
      <c r="GL5" s="123">
        <v>87.81</v>
      </c>
      <c r="GM5" s="123">
        <v>98.18</v>
      </c>
      <c r="GN5" s="123">
        <v>98.18</v>
      </c>
      <c r="GO5" s="123"/>
      <c r="GP5" s="123"/>
      <c r="GQ5" s="123">
        <v>29</v>
      </c>
      <c r="GR5" s="123"/>
      <c r="GS5" s="123">
        <v>16</v>
      </c>
      <c r="GT5" s="123"/>
      <c r="GU5" s="123"/>
      <c r="GV5" s="123">
        <v>27932</v>
      </c>
      <c r="GW5" s="123"/>
      <c r="GX5" s="123"/>
      <c r="GY5" s="123"/>
      <c r="GZ5" s="123"/>
      <c r="HA5" s="123">
        <v>557</v>
      </c>
      <c r="HB5" s="123"/>
      <c r="HC5" s="123"/>
      <c r="HD5" s="123"/>
      <c r="HE5" s="123"/>
      <c r="HF5" s="123">
        <v>225</v>
      </c>
      <c r="HG5" s="123"/>
      <c r="HH5" s="123"/>
      <c r="HI5" s="123"/>
      <c r="HJ5" s="123"/>
      <c r="HK5" s="123">
        <v>224</v>
      </c>
    </row>
    <row r="6" s="123" customFormat="1" ht="15" spans="1:227">
      <c r="A6" s="137" t="s">
        <v>306</v>
      </c>
      <c r="B6" s="138" t="s">
        <v>307</v>
      </c>
      <c r="C6" s="138" t="s">
        <v>307</v>
      </c>
      <c r="D6" s="138" t="s">
        <v>292</v>
      </c>
      <c r="E6" s="139" t="s">
        <v>293</v>
      </c>
      <c r="F6" s="138" t="s">
        <v>308</v>
      </c>
      <c r="G6" s="140"/>
      <c r="H6" s="141">
        <v>83510950</v>
      </c>
      <c r="I6" s="142">
        <v>206.398630780258</v>
      </c>
      <c r="J6" s="139">
        <v>4659929336890.62</v>
      </c>
      <c r="K6" s="126">
        <v>668.07620993847</v>
      </c>
      <c r="L6" s="123">
        <v>12495</v>
      </c>
      <c r="M6" s="123">
        <v>12495</v>
      </c>
      <c r="N6" s="123"/>
      <c r="O6" s="123"/>
      <c r="P6" s="123"/>
      <c r="Q6" s="123"/>
      <c r="R6" s="123">
        <v>25445</v>
      </c>
      <c r="S6" s="123"/>
      <c r="T6" s="123"/>
      <c r="U6" s="123"/>
      <c r="V6" s="123"/>
      <c r="W6" s="123">
        <v>1</v>
      </c>
      <c r="X6" s="123"/>
      <c r="Y6" s="123"/>
      <c r="Z6" s="123"/>
      <c r="AA6" s="123"/>
      <c r="AB6" s="123">
        <v>52</v>
      </c>
      <c r="AC6" s="153"/>
      <c r="AD6" s="153"/>
      <c r="AE6" s="153"/>
      <c r="AF6" s="153"/>
      <c r="AG6" s="153"/>
      <c r="AH6" s="153"/>
      <c r="AI6" s="153">
        <v>486</v>
      </c>
      <c r="AJ6" s="126"/>
      <c r="AK6" s="126"/>
      <c r="AL6" s="126"/>
      <c r="AM6" s="126"/>
      <c r="AN6" s="123">
        <v>1185266.66</v>
      </c>
      <c r="AO6" s="123"/>
      <c r="AP6" s="123"/>
      <c r="AQ6" s="123"/>
      <c r="AR6" s="123">
        <v>1519298.8803</v>
      </c>
      <c r="AS6" s="126"/>
      <c r="AT6" s="126"/>
      <c r="AU6" s="126"/>
      <c r="AV6" s="126"/>
      <c r="AW6" s="126">
        <v>87.3</v>
      </c>
      <c r="AX6" s="126"/>
      <c r="AY6" s="126"/>
      <c r="AZ6" s="123">
        <v>1.97</v>
      </c>
      <c r="BA6" s="123"/>
      <c r="BB6" s="123"/>
      <c r="BC6" s="123"/>
      <c r="BD6" s="123"/>
      <c r="BE6" s="123">
        <v>67</v>
      </c>
      <c r="BF6" s="123"/>
      <c r="BG6" s="123"/>
      <c r="BH6" s="123"/>
      <c r="BI6" s="123"/>
      <c r="BJ6" s="123"/>
      <c r="BK6" s="123"/>
      <c r="BL6" s="123"/>
      <c r="BM6" s="123">
        <v>11</v>
      </c>
      <c r="BN6" s="123">
        <v>48</v>
      </c>
      <c r="BO6" s="123">
        <v>102</v>
      </c>
      <c r="BP6" s="139">
        <v>212</v>
      </c>
      <c r="BQ6" s="139">
        <v>3</v>
      </c>
      <c r="BR6" s="123">
        <f t="shared" si="0"/>
        <v>274</v>
      </c>
      <c r="BS6" s="139"/>
      <c r="BT6" s="139"/>
      <c r="BU6" s="139"/>
      <c r="BV6" s="139"/>
      <c r="BW6" s="139"/>
      <c r="BX6" s="139"/>
      <c r="BY6" s="139"/>
      <c r="BZ6" s="139">
        <v>94.61</v>
      </c>
      <c r="CA6" s="139">
        <v>66.35</v>
      </c>
      <c r="CB6" s="139">
        <v>85.38</v>
      </c>
      <c r="CC6" s="139">
        <v>91.98</v>
      </c>
      <c r="CD6" s="139">
        <v>92.92</v>
      </c>
      <c r="CE6" s="139">
        <v>94.34</v>
      </c>
      <c r="CF6" s="139">
        <v>87.5966666666667</v>
      </c>
      <c r="CG6" s="123">
        <v>0.959</v>
      </c>
      <c r="CH6" s="123">
        <v>95.9</v>
      </c>
      <c r="CI6" s="123">
        <v>91.7483333333334</v>
      </c>
      <c r="CJ6" s="123">
        <v>0.767884204725613</v>
      </c>
      <c r="CK6" s="123">
        <v>76.7884204725613</v>
      </c>
      <c r="CL6" s="123">
        <v>0.93821</v>
      </c>
      <c r="CM6" s="123">
        <v>93.821</v>
      </c>
      <c r="CN6" s="123">
        <v>0.9726</v>
      </c>
      <c r="CO6" s="123">
        <v>97.26</v>
      </c>
      <c r="CP6" s="123">
        <v>93.84</v>
      </c>
      <c r="CQ6" s="123"/>
      <c r="CR6" s="123">
        <v>90.4273551181403</v>
      </c>
      <c r="CS6" s="123">
        <v>83.6695998408454</v>
      </c>
      <c r="CT6" s="154"/>
      <c r="CU6" s="154"/>
      <c r="CV6" s="154"/>
      <c r="CW6" s="154">
        <v>1</v>
      </c>
      <c r="CX6" s="143">
        <v>100</v>
      </c>
      <c r="CY6" s="154">
        <v>1</v>
      </c>
      <c r="CZ6" s="143">
        <v>100</v>
      </c>
      <c r="DA6" s="154">
        <v>1</v>
      </c>
      <c r="DB6" s="143">
        <v>100</v>
      </c>
      <c r="DC6" s="154">
        <v>1</v>
      </c>
      <c r="DD6" s="123">
        <v>100</v>
      </c>
      <c r="DE6" s="155"/>
      <c r="DF6" s="144">
        <v>1</v>
      </c>
      <c r="DG6" s="144">
        <v>100</v>
      </c>
      <c r="DH6" s="144">
        <v>100</v>
      </c>
      <c r="DI6" s="144">
        <v>1</v>
      </c>
      <c r="DJ6" s="143">
        <v>100</v>
      </c>
      <c r="DK6" s="144"/>
      <c r="DL6" s="144">
        <v>0</v>
      </c>
      <c r="DM6" s="123">
        <v>0</v>
      </c>
      <c r="DN6" s="154"/>
      <c r="DO6" s="154">
        <v>1</v>
      </c>
      <c r="DP6" s="143">
        <v>100</v>
      </c>
      <c r="DQ6" s="154"/>
      <c r="DR6" s="154">
        <v>2</v>
      </c>
      <c r="DS6" s="145">
        <v>1</v>
      </c>
      <c r="DT6" s="143">
        <v>100</v>
      </c>
      <c r="DU6" s="154">
        <v>1</v>
      </c>
      <c r="DV6" s="146">
        <v>100</v>
      </c>
      <c r="DW6" s="146">
        <v>1</v>
      </c>
      <c r="DX6" s="147">
        <v>100</v>
      </c>
      <c r="DY6" s="147">
        <v>100</v>
      </c>
      <c r="DZ6" s="157">
        <v>7</v>
      </c>
      <c r="EA6" s="126"/>
      <c r="EB6" s="126"/>
      <c r="EC6" s="123">
        <v>2</v>
      </c>
      <c r="ED6" s="123">
        <v>100</v>
      </c>
      <c r="EE6" s="123"/>
      <c r="EF6" s="123"/>
      <c r="EG6" s="123"/>
      <c r="EH6">
        <v>500</v>
      </c>
      <c r="EI6" s="123"/>
      <c r="EJ6" s="123">
        <v>475</v>
      </c>
      <c r="EK6" s="123"/>
      <c r="EL6" s="123">
        <v>2.3</v>
      </c>
      <c r="EM6" s="159"/>
      <c r="EN6" s="159"/>
      <c r="EO6" s="159"/>
      <c r="EP6" s="159"/>
      <c r="EQ6" s="215" t="s">
        <v>309</v>
      </c>
      <c r="ER6" s="123">
        <v>83.7272727272727</v>
      </c>
      <c r="ES6" s="123">
        <v>0.59</v>
      </c>
      <c r="ET6" s="123">
        <v>0.4</v>
      </c>
      <c r="EU6" s="123">
        <v>77.73</v>
      </c>
      <c r="EV6" s="123">
        <v>58.91</v>
      </c>
      <c r="EW6" s="123"/>
      <c r="EX6" s="123"/>
      <c r="EY6" s="123">
        <v>0.49</v>
      </c>
      <c r="EZ6" s="123">
        <v>0.45</v>
      </c>
      <c r="FA6" s="123">
        <v>28.5</v>
      </c>
      <c r="FB6" s="123">
        <v>40.8333333333333</v>
      </c>
      <c r="FC6" s="123">
        <v>0.59</v>
      </c>
      <c r="FD6" s="123">
        <v>0.17</v>
      </c>
      <c r="FE6" s="123">
        <v>0.29</v>
      </c>
      <c r="FF6" s="123">
        <v>0.44</v>
      </c>
      <c r="FG6" s="123">
        <v>0.39</v>
      </c>
      <c r="FH6" s="123">
        <v>0.4</v>
      </c>
      <c r="FI6" s="123">
        <v>0.41</v>
      </c>
      <c r="FJ6" s="123">
        <v>0.26</v>
      </c>
      <c r="FK6" s="123">
        <v>0.5</v>
      </c>
      <c r="FL6" s="123">
        <v>0.28</v>
      </c>
      <c r="FM6" s="123">
        <v>0.5</v>
      </c>
      <c r="FN6" s="123">
        <v>0.21</v>
      </c>
      <c r="FO6" s="123">
        <v>0.31</v>
      </c>
      <c r="FP6" s="123">
        <v>0.28</v>
      </c>
      <c r="FQ6" s="123">
        <v>0.32</v>
      </c>
      <c r="FR6" s="123">
        <v>35.6666666666667</v>
      </c>
      <c r="FS6" s="123">
        <v>0.41</v>
      </c>
      <c r="FT6" s="149">
        <v>0.47</v>
      </c>
      <c r="FU6" s="150">
        <v>44</v>
      </c>
      <c r="FV6" s="150">
        <v>32</v>
      </c>
      <c r="FW6" s="123">
        <v>44</v>
      </c>
      <c r="FX6" s="145">
        <v>38</v>
      </c>
      <c r="FY6" s="151"/>
      <c r="FZ6" s="151"/>
      <c r="GA6" s="151">
        <v>5.161426</v>
      </c>
      <c r="GB6" s="123">
        <v>0.193744906930759</v>
      </c>
      <c r="GC6" s="123"/>
      <c r="GD6" s="123">
        <v>19.3744906930759</v>
      </c>
      <c r="GE6" s="123">
        <v>0.982</v>
      </c>
      <c r="GF6" s="123">
        <v>1</v>
      </c>
      <c r="GG6" s="126">
        <v>99.1</v>
      </c>
      <c r="GH6" s="123">
        <v>4.86</v>
      </c>
      <c r="GI6" s="123"/>
      <c r="GJ6" s="123"/>
      <c r="GK6" s="123">
        <v>88.61</v>
      </c>
      <c r="GL6" s="123">
        <v>88.61</v>
      </c>
      <c r="GM6" s="123">
        <v>97.76</v>
      </c>
      <c r="GN6" s="123">
        <v>97.76</v>
      </c>
      <c r="GO6" s="123"/>
      <c r="GP6" s="123"/>
      <c r="GQ6" s="123">
        <v>22</v>
      </c>
      <c r="GR6" s="123"/>
      <c r="GS6" s="123">
        <v>13</v>
      </c>
      <c r="GT6" s="123"/>
      <c r="GU6" s="123"/>
      <c r="GV6" s="123">
        <v>93044</v>
      </c>
      <c r="GW6" s="123"/>
      <c r="GX6" s="123"/>
      <c r="GY6" s="123"/>
      <c r="GZ6" s="123"/>
      <c r="HA6" s="123">
        <v>1683</v>
      </c>
      <c r="HB6" s="123"/>
      <c r="HC6" s="123"/>
      <c r="HD6" s="123"/>
      <c r="HE6" s="123"/>
      <c r="HF6" s="123">
        <v>664</v>
      </c>
      <c r="HG6" s="123"/>
      <c r="HH6" s="123"/>
      <c r="HI6" s="123"/>
      <c r="HJ6" s="123"/>
      <c r="HK6" s="123">
        <v>564</v>
      </c>
    </row>
    <row r="7" s="123" customFormat="1" ht="15" spans="1:227">
      <c r="A7" s="137" t="s">
        <v>310</v>
      </c>
      <c r="B7" s="138" t="s">
        <v>311</v>
      </c>
      <c r="C7" s="138" t="s">
        <v>311</v>
      </c>
      <c r="D7" s="138" t="s">
        <v>292</v>
      </c>
      <c r="E7" s="139" t="s">
        <v>293</v>
      </c>
      <c r="F7" s="138" t="s">
        <v>312</v>
      </c>
      <c r="G7" s="140"/>
      <c r="H7" s="141">
        <v>123975371</v>
      </c>
      <c r="I7" s="142">
        <v>306.407085835743</v>
      </c>
      <c r="J7" s="139">
        <v>4026210821146.81</v>
      </c>
      <c r="K7" s="126">
        <v>577.222415050572</v>
      </c>
      <c r="L7" s="123">
        <v>5715</v>
      </c>
      <c r="M7" s="123">
        <v>5715</v>
      </c>
      <c r="N7" s="123"/>
      <c r="O7" s="123"/>
      <c r="P7" s="123"/>
      <c r="Q7" s="123"/>
      <c r="R7" s="123">
        <v>10879</v>
      </c>
      <c r="S7" s="123"/>
      <c r="T7" s="123"/>
      <c r="U7" s="123"/>
      <c r="V7" s="123"/>
      <c r="W7" s="123">
        <v>503</v>
      </c>
      <c r="X7" s="123"/>
      <c r="Y7" s="123"/>
      <c r="Z7" s="123"/>
      <c r="AA7" s="123"/>
      <c r="AB7" s="123">
        <v>11</v>
      </c>
      <c r="AC7" s="153"/>
      <c r="AD7" s="153"/>
      <c r="AE7" s="153"/>
      <c r="AF7" s="153"/>
      <c r="AG7" s="153"/>
      <c r="AH7" s="153"/>
      <c r="AI7" s="153">
        <v>240</v>
      </c>
      <c r="AJ7" s="126"/>
      <c r="AK7" s="126"/>
      <c r="AL7" s="126"/>
      <c r="AM7" s="126"/>
      <c r="AN7" s="123">
        <v>1229009.84</v>
      </c>
      <c r="AO7" s="123"/>
      <c r="AP7" s="123"/>
      <c r="AQ7" s="123"/>
      <c r="AR7" s="123">
        <v>1631301.3976</v>
      </c>
      <c r="AS7" s="126"/>
      <c r="AT7" s="126"/>
      <c r="AU7" s="126"/>
      <c r="AV7" s="126"/>
      <c r="AW7" s="126">
        <v>93.2</v>
      </c>
      <c r="AX7" s="126"/>
      <c r="AY7" s="126"/>
      <c r="AZ7" s="123">
        <v>0.93</v>
      </c>
      <c r="BA7" s="123"/>
      <c r="BB7" s="123"/>
      <c r="BC7" s="123"/>
      <c r="BD7" s="123"/>
      <c r="BE7" s="123">
        <v>42</v>
      </c>
      <c r="BF7" s="123"/>
      <c r="BG7" s="123"/>
      <c r="BH7" s="123"/>
      <c r="BI7" s="123"/>
      <c r="BJ7" s="123"/>
      <c r="BK7" s="123"/>
      <c r="BL7" s="123"/>
      <c r="BM7" s="123">
        <v>8</v>
      </c>
      <c r="BN7" s="123">
        <v>25</v>
      </c>
      <c r="BO7" s="123">
        <v>47</v>
      </c>
      <c r="BP7" s="139">
        <v>140</v>
      </c>
      <c r="BQ7" s="139">
        <v>2</v>
      </c>
      <c r="BR7" s="123">
        <f t="shared" si="0"/>
        <v>175</v>
      </c>
      <c r="BS7" s="139"/>
      <c r="BT7" s="139"/>
      <c r="BU7" s="139"/>
      <c r="BV7" s="139"/>
      <c r="BW7" s="139"/>
      <c r="BX7" s="139"/>
      <c r="BY7" s="139"/>
      <c r="BZ7" s="139">
        <v>85.29</v>
      </c>
      <c r="CA7" s="139">
        <v>81.52</v>
      </c>
      <c r="CB7" s="139">
        <v>96.7</v>
      </c>
      <c r="CC7" s="139">
        <v>92.45</v>
      </c>
      <c r="CD7" s="139">
        <v>92.45</v>
      </c>
      <c r="CE7" s="139">
        <v>90.09</v>
      </c>
      <c r="CF7" s="139">
        <v>89.75</v>
      </c>
      <c r="CG7" s="123">
        <v>0.925</v>
      </c>
      <c r="CH7" s="123">
        <v>92.5</v>
      </c>
      <c r="CI7" s="123">
        <v>91.125</v>
      </c>
      <c r="CJ7" s="123">
        <v>0.767041697651181</v>
      </c>
      <c r="CK7" s="123">
        <v>76.7041697651181</v>
      </c>
      <c r="CL7" s="123">
        <v>0.9351</v>
      </c>
      <c r="CM7" s="123">
        <v>93.51</v>
      </c>
      <c r="CN7" s="123">
        <v>0.9863</v>
      </c>
      <c r="CO7" s="123">
        <v>98.63</v>
      </c>
      <c r="CP7" s="123">
        <v>97.58</v>
      </c>
      <c r="CQ7" s="123"/>
      <c r="CR7" s="123">
        <v>91.6060424412795</v>
      </c>
      <c r="CS7" s="123">
        <v>80.6618508307052</v>
      </c>
      <c r="CT7" s="154"/>
      <c r="CU7" s="154"/>
      <c r="CV7" s="154"/>
      <c r="CW7" s="154">
        <v>1</v>
      </c>
      <c r="CX7" s="143">
        <v>100</v>
      </c>
      <c r="CY7" s="154">
        <v>1</v>
      </c>
      <c r="CZ7" s="143">
        <v>100</v>
      </c>
      <c r="DA7" s="154">
        <v>1</v>
      </c>
      <c r="DB7" s="143">
        <v>100</v>
      </c>
      <c r="DC7" s="154">
        <v>1</v>
      </c>
      <c r="DD7" s="123">
        <v>100</v>
      </c>
      <c r="DE7" s="155"/>
      <c r="DF7" s="144">
        <v>1</v>
      </c>
      <c r="DG7" s="144">
        <v>100</v>
      </c>
      <c r="DH7" s="144">
        <v>100</v>
      </c>
      <c r="DI7" s="144">
        <v>1</v>
      </c>
      <c r="DJ7" s="143">
        <v>100</v>
      </c>
      <c r="DK7" s="144"/>
      <c r="DL7" s="144">
        <v>1</v>
      </c>
      <c r="DM7" s="123">
        <v>100</v>
      </c>
      <c r="DN7" s="154"/>
      <c r="DO7" s="154">
        <v>0</v>
      </c>
      <c r="DP7" s="143">
        <v>0</v>
      </c>
      <c r="DQ7" s="160"/>
      <c r="DR7" s="160">
        <v>1</v>
      </c>
      <c r="DS7" s="145">
        <v>1</v>
      </c>
      <c r="DT7" s="143">
        <v>100</v>
      </c>
      <c r="DU7" s="154">
        <v>1</v>
      </c>
      <c r="DV7" s="146">
        <v>100</v>
      </c>
      <c r="DW7" s="146">
        <v>0</v>
      </c>
      <c r="DX7" s="147">
        <v>0</v>
      </c>
      <c r="DY7" s="147">
        <v>66.6666666666667</v>
      </c>
      <c r="DZ7" s="157">
        <v>8</v>
      </c>
      <c r="EA7" s="126"/>
      <c r="EB7" s="126"/>
      <c r="EC7" s="123">
        <v>2</v>
      </c>
      <c r="ED7" s="123">
        <v>100</v>
      </c>
      <c r="EE7" s="123"/>
      <c r="EF7" s="123"/>
      <c r="EG7" s="123"/>
      <c r="EH7">
        <v>527</v>
      </c>
      <c r="EI7" s="123"/>
      <c r="EJ7" s="123">
        <v>536</v>
      </c>
      <c r="EK7" s="123"/>
      <c r="EL7" s="123"/>
      <c r="EM7" s="159"/>
      <c r="EN7" s="159"/>
      <c r="EO7" s="159"/>
      <c r="EP7" s="159"/>
      <c r="EQ7" s="215" t="s">
        <v>313</v>
      </c>
      <c r="ER7" s="123">
        <v>81.4545454545455</v>
      </c>
      <c r="ES7" s="123">
        <v>0.41</v>
      </c>
      <c r="ET7" s="123">
        <v>0.38</v>
      </c>
      <c r="EU7" s="123">
        <v>78.36</v>
      </c>
      <c r="EV7" s="123">
        <v>52.4533333333333</v>
      </c>
      <c r="EW7" s="123"/>
      <c r="EX7" s="123"/>
      <c r="EY7" s="123">
        <v>0.48</v>
      </c>
      <c r="EZ7" s="123">
        <v>0.46</v>
      </c>
      <c r="FA7" s="123">
        <v>38.6</v>
      </c>
      <c r="FB7" s="123">
        <v>44.2</v>
      </c>
      <c r="FC7" s="123">
        <v>0.6</v>
      </c>
      <c r="FD7" s="123">
        <v>0.22</v>
      </c>
      <c r="FE7" s="123">
        <v>0.3</v>
      </c>
      <c r="FF7" s="123">
        <v>0.33</v>
      </c>
      <c r="FG7" s="123">
        <v>0.43</v>
      </c>
      <c r="FH7" s="123">
        <v>0.35</v>
      </c>
      <c r="FI7" s="123">
        <v>0.42</v>
      </c>
      <c r="FJ7" s="123">
        <v>0.18</v>
      </c>
      <c r="FK7" s="123">
        <v>0.58</v>
      </c>
      <c r="FL7" s="123">
        <v>0.2</v>
      </c>
      <c r="FM7" s="123">
        <v>0.54</v>
      </c>
      <c r="FN7" s="123">
        <v>0.2</v>
      </c>
      <c r="FO7" s="123">
        <v>0.39</v>
      </c>
      <c r="FP7" s="123">
        <v>0.21</v>
      </c>
      <c r="FQ7" s="123">
        <v>0.41</v>
      </c>
      <c r="FR7" s="123">
        <v>35.7333333333333</v>
      </c>
      <c r="FS7" s="123">
        <v>0.31</v>
      </c>
      <c r="FT7" s="149">
        <v>0.39</v>
      </c>
      <c r="FU7" s="150">
        <v>35</v>
      </c>
      <c r="FV7" s="150">
        <v>34</v>
      </c>
      <c r="FW7" s="123">
        <v>46</v>
      </c>
      <c r="FX7" s="145">
        <v>40</v>
      </c>
      <c r="FY7" s="151"/>
      <c r="FZ7" s="151"/>
      <c r="GA7" s="151">
        <v>6.424858</v>
      </c>
      <c r="GB7" s="123">
        <v>0.15564546329273</v>
      </c>
      <c r="GC7" s="123"/>
      <c r="GD7" s="123">
        <v>15.564546329273</v>
      </c>
      <c r="GE7" s="123">
        <v>0.905</v>
      </c>
      <c r="GF7" s="123">
        <v>0.959</v>
      </c>
      <c r="GG7" s="126">
        <v>93.2</v>
      </c>
      <c r="GH7" s="123"/>
      <c r="GI7" s="123"/>
      <c r="GJ7" s="123"/>
      <c r="GK7" s="123"/>
      <c r="GL7" s="123"/>
      <c r="GM7" s="123"/>
      <c r="GN7" s="123"/>
      <c r="GO7" s="123"/>
      <c r="GP7" s="123"/>
      <c r="GQ7" s="123">
        <v>13</v>
      </c>
      <c r="GR7" s="123"/>
      <c r="GS7" s="123">
        <v>23</v>
      </c>
      <c r="GT7" s="123"/>
      <c r="GU7" s="123"/>
      <c r="GV7" s="123">
        <v>43677</v>
      </c>
      <c r="GW7" s="123"/>
      <c r="GX7" s="123"/>
      <c r="GY7" s="123"/>
      <c r="GZ7" s="123"/>
      <c r="HA7" s="123">
        <v>585</v>
      </c>
      <c r="HB7" s="123"/>
      <c r="HC7" s="123"/>
      <c r="HD7" s="123"/>
      <c r="HE7" s="123"/>
      <c r="HF7" s="123">
        <v>229</v>
      </c>
      <c r="HG7" s="123"/>
      <c r="HH7" s="123"/>
      <c r="HI7" s="123"/>
      <c r="HJ7" s="123"/>
      <c r="HK7" s="123">
        <v>173</v>
      </c>
    </row>
    <row r="8" s="123" customFormat="1" ht="15" spans="1:227">
      <c r="A8" s="137" t="s">
        <v>314</v>
      </c>
      <c r="B8" s="138" t="s">
        <v>315</v>
      </c>
      <c r="C8" s="138" t="s">
        <v>315</v>
      </c>
      <c r="D8" s="138" t="s">
        <v>292</v>
      </c>
      <c r="E8" s="139" t="s">
        <v>293</v>
      </c>
      <c r="F8" s="138" t="s">
        <v>316</v>
      </c>
      <c r="G8" s="140"/>
      <c r="H8" s="141">
        <v>41288599</v>
      </c>
      <c r="I8" s="142">
        <v>102.045423988532</v>
      </c>
      <c r="J8" s="139">
        <v>2241253230970.34</v>
      </c>
      <c r="K8" s="126">
        <v>321.319886163364</v>
      </c>
      <c r="L8" s="123">
        <v>6687</v>
      </c>
      <c r="M8" s="123">
        <v>6687</v>
      </c>
      <c r="N8" s="123"/>
      <c r="O8" s="123"/>
      <c r="P8" s="123"/>
      <c r="Q8" s="123"/>
      <c r="R8" s="123">
        <v>10066</v>
      </c>
      <c r="S8" s="123"/>
      <c r="T8" s="123"/>
      <c r="U8" s="123"/>
      <c r="V8" s="123"/>
      <c r="W8" s="123">
        <v>55</v>
      </c>
      <c r="X8" s="123"/>
      <c r="Y8" s="123"/>
      <c r="Z8" s="123"/>
      <c r="AA8" s="123"/>
      <c r="AB8" s="123">
        <v>33</v>
      </c>
      <c r="AC8" s="153"/>
      <c r="AD8" s="153"/>
      <c r="AE8" s="153"/>
      <c r="AF8" s="153"/>
      <c r="AG8" s="153"/>
      <c r="AH8" s="153"/>
      <c r="AI8" s="153">
        <v>286</v>
      </c>
      <c r="AJ8" s="126"/>
      <c r="AK8" s="126"/>
      <c r="AL8" s="126"/>
      <c r="AM8" s="126"/>
      <c r="AN8" s="123">
        <v>78990.05999</v>
      </c>
      <c r="AO8" s="123"/>
      <c r="AP8" s="123"/>
      <c r="AQ8" s="123"/>
      <c r="AR8" s="123">
        <v>138729.945</v>
      </c>
      <c r="AS8" s="126"/>
      <c r="AT8" s="126"/>
      <c r="AU8" s="126"/>
      <c r="AV8" s="126"/>
      <c r="AW8" s="126">
        <v>88.6</v>
      </c>
      <c r="AX8" s="126"/>
      <c r="AY8" s="126"/>
      <c r="AZ8" s="123">
        <v>2.89</v>
      </c>
      <c r="BA8" s="123"/>
      <c r="BB8" s="123"/>
      <c r="BC8" s="123"/>
      <c r="BD8" s="123"/>
      <c r="BE8" s="123">
        <v>51</v>
      </c>
      <c r="BF8" s="123"/>
      <c r="BG8" s="123"/>
      <c r="BH8" s="123"/>
      <c r="BI8" s="123"/>
      <c r="BJ8" s="123"/>
      <c r="BK8" s="123"/>
      <c r="BL8" s="123"/>
      <c r="BM8" s="123">
        <v>20</v>
      </c>
      <c r="BN8" s="123">
        <v>40</v>
      </c>
      <c r="BO8" s="123">
        <v>40</v>
      </c>
      <c r="BP8" s="139">
        <v>92</v>
      </c>
      <c r="BQ8" s="139">
        <v>1</v>
      </c>
      <c r="BR8" s="123">
        <f t="shared" si="0"/>
        <v>153</v>
      </c>
      <c r="BS8" s="139"/>
      <c r="BT8" s="139"/>
      <c r="BU8" s="139"/>
      <c r="BV8" s="139"/>
      <c r="BW8" s="139"/>
      <c r="BX8" s="139"/>
      <c r="BY8" s="139"/>
      <c r="BZ8" s="139">
        <v>95.1</v>
      </c>
      <c r="CA8" s="139">
        <v>76.3</v>
      </c>
      <c r="CB8" s="139">
        <v>91.98</v>
      </c>
      <c r="CC8" s="139">
        <v>94.81</v>
      </c>
      <c r="CD8" s="139">
        <v>90.09</v>
      </c>
      <c r="CE8" s="139">
        <v>94.81</v>
      </c>
      <c r="CF8" s="139">
        <v>90.515</v>
      </c>
      <c r="CG8" s="123">
        <v>0.939</v>
      </c>
      <c r="CH8" s="123">
        <v>93.9</v>
      </c>
      <c r="CI8" s="123">
        <v>92.2075</v>
      </c>
      <c r="CJ8" s="123">
        <v>0.769050486372967</v>
      </c>
      <c r="CK8" s="123">
        <v>76.9050486372967</v>
      </c>
      <c r="CL8" s="123">
        <v>0.84516</v>
      </c>
      <c r="CM8" s="123">
        <v>84.516</v>
      </c>
      <c r="CN8" s="123">
        <v>0.9178</v>
      </c>
      <c r="CO8" s="123">
        <v>91.78</v>
      </c>
      <c r="CP8" s="123">
        <v>93.18</v>
      </c>
      <c r="CQ8" s="123"/>
      <c r="CR8" s="123">
        <v>86.5952621593242</v>
      </c>
      <c r="CS8" s="123">
        <v>79.168558810797</v>
      </c>
      <c r="CT8" s="154"/>
      <c r="CU8" s="154"/>
      <c r="CV8" s="154"/>
      <c r="CW8" s="154">
        <v>1</v>
      </c>
      <c r="CX8" s="143">
        <v>100</v>
      </c>
      <c r="CY8" s="154">
        <v>1</v>
      </c>
      <c r="CZ8" s="143">
        <v>100</v>
      </c>
      <c r="DA8" s="154">
        <v>1</v>
      </c>
      <c r="DB8" s="143">
        <v>100</v>
      </c>
      <c r="DC8" s="154">
        <v>1</v>
      </c>
      <c r="DD8" s="123">
        <v>100</v>
      </c>
      <c r="DE8" s="155"/>
      <c r="DF8" s="144">
        <v>1</v>
      </c>
      <c r="DG8" s="144">
        <v>100</v>
      </c>
      <c r="DH8" s="144">
        <v>100</v>
      </c>
      <c r="DI8" s="144">
        <v>1</v>
      </c>
      <c r="DJ8" s="143">
        <v>100</v>
      </c>
      <c r="DK8" s="144"/>
      <c r="DL8" s="144">
        <v>1</v>
      </c>
      <c r="DM8" s="123">
        <v>100</v>
      </c>
      <c r="DN8" s="154"/>
      <c r="DO8" s="154">
        <v>1</v>
      </c>
      <c r="DP8" s="143">
        <v>100</v>
      </c>
      <c r="DQ8" s="154"/>
      <c r="DR8" s="154">
        <v>1</v>
      </c>
      <c r="DS8" s="145">
        <v>1</v>
      </c>
      <c r="DT8" s="143">
        <v>100</v>
      </c>
      <c r="DU8" s="154">
        <v>0</v>
      </c>
      <c r="DV8" s="146">
        <v>0</v>
      </c>
      <c r="DW8" s="146">
        <v>0</v>
      </c>
      <c r="DX8" s="147">
        <v>0</v>
      </c>
      <c r="DY8" s="147">
        <v>33.3333333333333</v>
      </c>
      <c r="DZ8" s="157">
        <v>7</v>
      </c>
      <c r="EA8" s="126"/>
      <c r="EB8" s="126"/>
      <c r="EC8" s="123">
        <v>2</v>
      </c>
      <c r="ED8" s="123">
        <v>100</v>
      </c>
      <c r="EE8" s="123"/>
      <c r="EF8" s="123"/>
      <c r="EG8" s="123"/>
      <c r="EH8">
        <v>512</v>
      </c>
      <c r="EI8" s="123"/>
      <c r="EJ8" s="123">
        <v>497</v>
      </c>
      <c r="EK8" s="123"/>
      <c r="EL8" s="123">
        <v>4.6</v>
      </c>
      <c r="EM8" s="150"/>
      <c r="EN8" s="150"/>
      <c r="EO8" s="150"/>
      <c r="EP8" s="150"/>
      <c r="EQ8" s="216" t="s">
        <v>317</v>
      </c>
      <c r="ER8" s="123">
        <v>80.4772727272727</v>
      </c>
      <c r="ES8" s="123">
        <v>0.59</v>
      </c>
      <c r="ET8" s="123">
        <v>0.39</v>
      </c>
      <c r="EU8" s="123">
        <v>73.04</v>
      </c>
      <c r="EV8" s="123">
        <v>57.0133333333333</v>
      </c>
      <c r="EW8" s="123"/>
      <c r="EX8" s="123"/>
      <c r="EY8" s="123">
        <v>0.4</v>
      </c>
      <c r="EZ8" s="123">
        <v>0.31</v>
      </c>
      <c r="FA8" s="123">
        <v>25.1</v>
      </c>
      <c r="FB8" s="123">
        <v>32.0333333333333</v>
      </c>
      <c r="FC8" s="123">
        <v>0.56</v>
      </c>
      <c r="FD8" s="123">
        <v>0.12</v>
      </c>
      <c r="FE8" s="123">
        <v>0.19</v>
      </c>
      <c r="FF8" s="123">
        <v>0.35</v>
      </c>
      <c r="FG8" s="123">
        <v>0.3</v>
      </c>
      <c r="FH8" s="123">
        <v>0.39</v>
      </c>
      <c r="FI8" s="123">
        <v>0.35</v>
      </c>
      <c r="FJ8" s="123">
        <v>0.25</v>
      </c>
      <c r="FK8" s="123">
        <v>0.47</v>
      </c>
      <c r="FL8" s="123">
        <v>0.22</v>
      </c>
      <c r="FM8" s="123">
        <v>0.48</v>
      </c>
      <c r="FN8" s="123">
        <v>0.15</v>
      </c>
      <c r="FO8" s="123">
        <v>0.23</v>
      </c>
      <c r="FP8" s="123">
        <v>0.2</v>
      </c>
      <c r="FQ8" s="123">
        <v>0.34</v>
      </c>
      <c r="FR8" s="123">
        <v>30.6666666666667</v>
      </c>
      <c r="FS8" s="123">
        <v>0.3</v>
      </c>
      <c r="FT8" s="149">
        <v>0.35</v>
      </c>
      <c r="FU8" s="150">
        <v>32.5</v>
      </c>
      <c r="FV8" s="150">
        <v>37</v>
      </c>
      <c r="FW8" s="123">
        <v>48</v>
      </c>
      <c r="FX8" s="145">
        <v>42.5</v>
      </c>
      <c r="FY8" s="151"/>
      <c r="FZ8" s="151"/>
      <c r="GA8" s="151">
        <v>2.995887</v>
      </c>
      <c r="GB8" s="123">
        <v>0.333790960740509</v>
      </c>
      <c r="GC8" s="123"/>
      <c r="GD8" s="123">
        <v>33.3790960740509</v>
      </c>
      <c r="GE8" s="123">
        <v>1</v>
      </c>
      <c r="GF8" s="123">
        <v>1</v>
      </c>
      <c r="GG8" s="126">
        <v>100</v>
      </c>
      <c r="GH8" s="123">
        <v>12.04</v>
      </c>
      <c r="GI8" s="123"/>
      <c r="GJ8" s="123"/>
      <c r="GK8" s="123">
        <v>92.66</v>
      </c>
      <c r="GL8" s="123">
        <v>92.66</v>
      </c>
      <c r="GM8" s="123">
        <v>99.14</v>
      </c>
      <c r="GN8" s="123">
        <v>99.14</v>
      </c>
      <c r="GO8" s="123"/>
      <c r="GP8" s="123"/>
      <c r="GQ8" s="123">
        <v>53</v>
      </c>
      <c r="GR8" s="123"/>
      <c r="GS8" s="123">
        <v>38</v>
      </c>
      <c r="GT8" s="123"/>
      <c r="GU8" s="123"/>
      <c r="GV8" s="123">
        <v>27656</v>
      </c>
      <c r="GW8" s="123"/>
      <c r="GX8" s="123"/>
      <c r="GY8" s="123"/>
      <c r="GZ8" s="123"/>
      <c r="HA8" s="123">
        <v>802</v>
      </c>
      <c r="HB8" s="123"/>
      <c r="HC8" s="123"/>
      <c r="HD8" s="123"/>
      <c r="HE8" s="123"/>
      <c r="HF8" s="123">
        <v>455</v>
      </c>
      <c r="HG8" s="123"/>
      <c r="HH8" s="123"/>
      <c r="HI8" s="123"/>
      <c r="HJ8" s="123"/>
      <c r="HK8" s="123">
        <v>317</v>
      </c>
    </row>
    <row r="9" s="123" customFormat="1" ht="15" spans="1:227">
      <c r="A9" s="137" t="s">
        <v>318</v>
      </c>
      <c r="B9" s="138" t="s">
        <v>319</v>
      </c>
      <c r="C9" s="138" t="s">
        <v>319</v>
      </c>
      <c r="D9" s="138" t="s">
        <v>292</v>
      </c>
      <c r="E9" s="139" t="s">
        <v>293</v>
      </c>
      <c r="F9" s="138" t="s">
        <v>320</v>
      </c>
      <c r="G9" s="140"/>
      <c r="H9" s="141">
        <v>58986023</v>
      </c>
      <c r="I9" s="142">
        <v>145.784886681001</v>
      </c>
      <c r="J9" s="139">
        <v>2372774547793.12</v>
      </c>
      <c r="K9" s="126">
        <v>340.175593303273</v>
      </c>
      <c r="L9" s="123">
        <v>5358</v>
      </c>
      <c r="M9" s="123">
        <v>5358</v>
      </c>
      <c r="N9" s="123"/>
      <c r="O9" s="123"/>
      <c r="P9" s="123"/>
      <c r="Q9" s="123"/>
      <c r="R9" s="123">
        <v>11297</v>
      </c>
      <c r="S9" s="123"/>
      <c r="T9" s="123"/>
      <c r="U9" s="123"/>
      <c r="V9" s="123"/>
      <c r="W9" s="123">
        <v>0</v>
      </c>
      <c r="X9" s="123"/>
      <c r="Y9" s="123"/>
      <c r="Z9" s="123"/>
      <c r="AA9" s="123"/>
      <c r="AB9" s="123">
        <v>0</v>
      </c>
      <c r="AC9" s="153"/>
      <c r="AD9" s="153"/>
      <c r="AE9" s="153"/>
      <c r="AF9" s="153"/>
      <c r="AG9" s="153"/>
      <c r="AH9" s="153"/>
      <c r="AI9" s="153">
        <v>209</v>
      </c>
      <c r="AJ9" s="126"/>
      <c r="AK9" s="126"/>
      <c r="AL9" s="126"/>
      <c r="AM9" s="126"/>
      <c r="AN9" s="123">
        <v>874883.92</v>
      </c>
      <c r="AO9" s="123"/>
      <c r="AP9" s="123"/>
      <c r="AQ9" s="123"/>
      <c r="AR9" s="123">
        <v>1128393.618</v>
      </c>
      <c r="AS9" s="126"/>
      <c r="AT9" s="126"/>
      <c r="AU9" s="126"/>
      <c r="AV9" s="126"/>
      <c r="AW9" s="126">
        <v>87.7</v>
      </c>
      <c r="AX9" s="126"/>
      <c r="AY9" s="126"/>
      <c r="AZ9" s="123">
        <v>0.86</v>
      </c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>
        <v>2</v>
      </c>
      <c r="BN9" s="123">
        <v>27</v>
      </c>
      <c r="BO9" s="123">
        <v>45</v>
      </c>
      <c r="BP9" s="139">
        <v>100</v>
      </c>
      <c r="BQ9" s="139">
        <v>1</v>
      </c>
      <c r="BR9" s="123">
        <f t="shared" si="0"/>
        <v>130</v>
      </c>
      <c r="BS9" s="139"/>
      <c r="BT9" s="139"/>
      <c r="BU9" s="139"/>
      <c r="BV9" s="139"/>
      <c r="BW9" s="139"/>
      <c r="BX9" s="139"/>
      <c r="BY9" s="139"/>
      <c r="BZ9" s="139">
        <v>85.78</v>
      </c>
      <c r="CA9" s="139">
        <v>64.93</v>
      </c>
      <c r="CB9" s="139">
        <v>70.28</v>
      </c>
      <c r="CC9" s="139">
        <v>72.64</v>
      </c>
      <c r="CD9" s="139">
        <v>60.85</v>
      </c>
      <c r="CE9" s="139">
        <v>67.92</v>
      </c>
      <c r="CF9" s="139">
        <v>70.4</v>
      </c>
      <c r="CG9" s="123">
        <v>0.915</v>
      </c>
      <c r="CH9" s="123">
        <v>91.5</v>
      </c>
      <c r="CI9" s="123">
        <v>80.95</v>
      </c>
      <c r="CJ9" s="123">
        <v>0.795924381392616</v>
      </c>
      <c r="CK9" s="123">
        <v>79.5924381392616</v>
      </c>
      <c r="CL9" s="123">
        <v>0.83557</v>
      </c>
      <c r="CM9" s="123">
        <v>83.557</v>
      </c>
      <c r="CN9" s="123">
        <v>0.6575</v>
      </c>
      <c r="CO9" s="123">
        <v>65.75</v>
      </c>
      <c r="CP9" s="123">
        <v>100</v>
      </c>
      <c r="CQ9" s="123"/>
      <c r="CR9" s="123">
        <v>82.2248595348154</v>
      </c>
      <c r="CS9" s="123">
        <v>80.2601334712673</v>
      </c>
      <c r="CT9" s="154"/>
      <c r="CU9" s="154"/>
      <c r="CV9" s="154"/>
      <c r="CW9" s="154">
        <v>1</v>
      </c>
      <c r="CX9" s="143">
        <v>100</v>
      </c>
      <c r="CY9" s="154">
        <v>1</v>
      </c>
      <c r="CZ9" s="143">
        <v>100</v>
      </c>
      <c r="DA9" s="154">
        <v>1</v>
      </c>
      <c r="DB9" s="143">
        <v>100</v>
      </c>
      <c r="DC9" s="154">
        <v>1</v>
      </c>
      <c r="DD9" s="123">
        <v>100</v>
      </c>
      <c r="DE9" s="155"/>
      <c r="DF9" s="144">
        <v>1</v>
      </c>
      <c r="DG9" s="144">
        <v>100</v>
      </c>
      <c r="DH9" s="144">
        <v>100</v>
      </c>
      <c r="DI9" s="161">
        <v>1</v>
      </c>
      <c r="DJ9" s="143">
        <v>100</v>
      </c>
      <c r="DK9" s="144"/>
      <c r="DL9" s="144">
        <v>1</v>
      </c>
      <c r="DM9" s="123">
        <v>100</v>
      </c>
      <c r="DN9" s="154"/>
      <c r="DO9" s="154">
        <v>1</v>
      </c>
      <c r="DP9" s="143">
        <v>100</v>
      </c>
      <c r="DQ9" s="154"/>
      <c r="DR9" s="154">
        <v>2</v>
      </c>
      <c r="DS9" s="145">
        <v>1</v>
      </c>
      <c r="DT9" s="143">
        <v>100</v>
      </c>
      <c r="DU9" s="154">
        <v>1</v>
      </c>
      <c r="DV9" s="146">
        <v>100</v>
      </c>
      <c r="DW9" s="146">
        <v>1</v>
      </c>
      <c r="DX9" s="147">
        <v>100</v>
      </c>
      <c r="DY9" s="147">
        <v>100</v>
      </c>
      <c r="DZ9" s="157">
        <v>6</v>
      </c>
      <c r="EA9" s="126"/>
      <c r="EB9" s="126"/>
      <c r="EC9" s="123">
        <v>2</v>
      </c>
      <c r="ED9" s="123">
        <v>100</v>
      </c>
      <c r="EE9" s="123"/>
      <c r="EF9" s="123"/>
      <c r="EG9" s="123"/>
      <c r="EH9">
        <v>487</v>
      </c>
      <c r="EI9" s="123"/>
      <c r="EJ9" s="123">
        <v>471</v>
      </c>
      <c r="EK9" s="123"/>
      <c r="EL9" s="123"/>
      <c r="EM9" s="150"/>
      <c r="EN9" s="150"/>
      <c r="EO9" s="150"/>
      <c r="EP9" s="150"/>
      <c r="EQ9" s="216" t="s">
        <v>321</v>
      </c>
      <c r="ER9" s="123">
        <v>80.1590909090909</v>
      </c>
      <c r="ES9" s="123">
        <v>0.5</v>
      </c>
      <c r="ET9" s="123">
        <v>0.46</v>
      </c>
      <c r="EU9" s="123">
        <v>74.29</v>
      </c>
      <c r="EV9" s="123">
        <v>56.7633333333333</v>
      </c>
      <c r="EW9" s="123"/>
      <c r="EX9" s="123"/>
      <c r="EY9" s="123">
        <v>0.53</v>
      </c>
      <c r="EZ9" s="123">
        <v>0.49</v>
      </c>
      <c r="FA9" s="123">
        <v>25.6</v>
      </c>
      <c r="FB9" s="123">
        <v>42.5333333333333</v>
      </c>
      <c r="FC9" s="123">
        <v>0.62</v>
      </c>
      <c r="FD9" s="123">
        <v>0.26</v>
      </c>
      <c r="FE9" s="123">
        <v>0.23</v>
      </c>
      <c r="FF9" s="123">
        <v>0.41</v>
      </c>
      <c r="FG9" s="123">
        <v>0.34</v>
      </c>
      <c r="FH9" s="123">
        <v>0.5</v>
      </c>
      <c r="FI9" s="123">
        <v>0.29</v>
      </c>
      <c r="FJ9" s="123">
        <v>0.33</v>
      </c>
      <c r="FK9" s="123">
        <v>0.45</v>
      </c>
      <c r="FL9" s="123">
        <v>0.34</v>
      </c>
      <c r="FM9" s="123">
        <v>0.38</v>
      </c>
      <c r="FN9" s="123">
        <v>0.27</v>
      </c>
      <c r="FO9" s="123">
        <v>0.24</v>
      </c>
      <c r="FP9" s="123">
        <v>0.25</v>
      </c>
      <c r="FQ9" s="123">
        <v>0.37</v>
      </c>
      <c r="FR9" s="123">
        <v>35.2</v>
      </c>
      <c r="FS9" s="123">
        <v>0.54</v>
      </c>
      <c r="FT9" s="149">
        <v>0.57</v>
      </c>
      <c r="FU9" s="150">
        <v>55.5</v>
      </c>
      <c r="FV9" s="150">
        <v>36</v>
      </c>
      <c r="FW9" s="123">
        <v>38</v>
      </c>
      <c r="FX9" s="145">
        <v>37</v>
      </c>
      <c r="FY9" s="151"/>
      <c r="FZ9" s="151"/>
      <c r="GA9" s="151">
        <v>2.510093</v>
      </c>
      <c r="GB9" s="123">
        <v>0.398391613378468</v>
      </c>
      <c r="GC9" s="123"/>
      <c r="GD9" s="123">
        <v>39.8391613378468</v>
      </c>
      <c r="GE9" s="123">
        <v>1</v>
      </c>
      <c r="GF9" s="123">
        <v>1</v>
      </c>
      <c r="GG9" s="126">
        <v>100</v>
      </c>
      <c r="GH9" s="123">
        <v>9.82</v>
      </c>
      <c r="GI9" s="123"/>
      <c r="GJ9" s="123"/>
      <c r="GK9" s="123">
        <v>79.38</v>
      </c>
      <c r="GL9" s="123">
        <v>79.38</v>
      </c>
      <c r="GM9" s="123">
        <v>94.67</v>
      </c>
      <c r="GN9" s="123">
        <v>94.67</v>
      </c>
      <c r="GO9" s="123"/>
      <c r="GP9" s="123"/>
      <c r="GQ9" s="123">
        <v>2</v>
      </c>
      <c r="GR9" s="123"/>
      <c r="GS9" s="123">
        <v>2</v>
      </c>
      <c r="GT9" s="123"/>
      <c r="GU9" s="123"/>
      <c r="GV9" s="123">
        <v>19734</v>
      </c>
      <c r="GW9" s="123"/>
      <c r="GX9" s="123"/>
      <c r="GY9" s="123"/>
      <c r="GZ9" s="123"/>
      <c r="HA9" s="123">
        <v>754</v>
      </c>
      <c r="HB9" s="123"/>
      <c r="HC9" s="123"/>
      <c r="HD9" s="123"/>
      <c r="HE9" s="123"/>
      <c r="HF9" s="123">
        <v>320</v>
      </c>
      <c r="HG9" s="123"/>
      <c r="HH9" s="123"/>
      <c r="HI9" s="123"/>
      <c r="HJ9" s="123"/>
      <c r="HK9" s="123">
        <v>373</v>
      </c>
    </row>
    <row r="10" s="123" customFormat="1" ht="15" spans="1:227">
      <c r="A10" s="137" t="s">
        <v>322</v>
      </c>
      <c r="B10" s="138" t="s">
        <v>323</v>
      </c>
      <c r="C10" s="138" t="s">
        <v>323</v>
      </c>
      <c r="D10" s="138" t="s">
        <v>324</v>
      </c>
      <c r="E10" s="139" t="s">
        <v>325</v>
      </c>
      <c r="F10" s="138" t="s">
        <v>326</v>
      </c>
      <c r="G10" s="140"/>
      <c r="H10" s="141">
        <v>1408975000</v>
      </c>
      <c r="I10" s="142">
        <v>3482.3039470107</v>
      </c>
      <c r="J10" s="213" t="s">
        <v>327</v>
      </c>
      <c r="K10" s="126">
        <v>2687.22722532838</v>
      </c>
      <c r="L10" s="123">
        <v>83471</v>
      </c>
      <c r="M10" s="123">
        <v>83471</v>
      </c>
      <c r="N10" s="123"/>
      <c r="O10" s="123"/>
      <c r="P10" s="123"/>
      <c r="Q10" s="123"/>
      <c r="R10" s="123">
        <v>220131</v>
      </c>
      <c r="S10" s="123"/>
      <c r="T10" s="123"/>
      <c r="U10" s="123"/>
      <c r="V10" s="123"/>
      <c r="W10" s="123">
        <v>12182</v>
      </c>
      <c r="X10" s="150"/>
      <c r="Y10" s="150"/>
      <c r="Z10" s="150"/>
      <c r="AA10" s="150"/>
      <c r="AB10" s="150">
        <v>371</v>
      </c>
      <c r="AC10" s="162"/>
      <c r="AD10" s="162"/>
      <c r="AE10" s="162"/>
      <c r="AF10" s="162"/>
      <c r="AG10" s="162"/>
      <c r="AH10" s="162"/>
      <c r="AI10" s="162">
        <v>511</v>
      </c>
      <c r="AJ10" s="142"/>
      <c r="AK10" s="142"/>
      <c r="AL10" s="142"/>
      <c r="AM10" s="142"/>
      <c r="AN10" s="150">
        <v>397870.12388</v>
      </c>
      <c r="AO10" s="150"/>
      <c r="AP10" s="150"/>
      <c r="AQ10" s="150"/>
      <c r="AR10" s="150">
        <v>641941.7652</v>
      </c>
      <c r="AS10" s="126"/>
      <c r="AT10" s="126"/>
      <c r="AU10" s="126"/>
      <c r="AV10" s="126"/>
      <c r="AW10" s="126">
        <v>85.8</v>
      </c>
      <c r="AX10" s="126"/>
      <c r="AY10" s="126"/>
      <c r="AZ10" s="123">
        <v>9.29</v>
      </c>
      <c r="BA10" s="123"/>
      <c r="BB10" s="123"/>
      <c r="BC10" s="123"/>
      <c r="BD10" s="123"/>
      <c r="BE10" s="123">
        <v>98</v>
      </c>
      <c r="BF10" s="123"/>
      <c r="BG10" s="123"/>
      <c r="BH10" s="123"/>
      <c r="BI10" s="123"/>
      <c r="BJ10" s="123"/>
      <c r="BK10" s="123"/>
      <c r="BL10" s="123"/>
      <c r="BM10" s="123">
        <v>68</v>
      </c>
      <c r="BN10" s="123">
        <v>118</v>
      </c>
      <c r="BO10" s="123">
        <v>280</v>
      </c>
      <c r="BP10" s="152">
        <v>737</v>
      </c>
      <c r="BQ10" s="139">
        <v>51</v>
      </c>
      <c r="BR10" s="123">
        <f t="shared" si="0"/>
        <v>974</v>
      </c>
      <c r="BS10" s="139"/>
      <c r="BT10" s="139"/>
      <c r="BU10" s="139"/>
      <c r="BV10" s="139"/>
      <c r="BW10" s="139"/>
      <c r="BX10" s="139"/>
      <c r="BY10" s="139"/>
      <c r="BZ10" s="139">
        <v>7.35</v>
      </c>
      <c r="CA10" s="139">
        <v>25.12</v>
      </c>
      <c r="CB10" s="139">
        <v>73.58</v>
      </c>
      <c r="CC10" s="139">
        <v>38.68</v>
      </c>
      <c r="CD10" s="139">
        <v>52.83</v>
      </c>
      <c r="CE10" s="139">
        <v>54.25</v>
      </c>
      <c r="CF10" s="139">
        <v>41.9683333333333</v>
      </c>
      <c r="CG10" s="123">
        <v>0.797</v>
      </c>
      <c r="CH10" s="123">
        <v>79.7</v>
      </c>
      <c r="CI10" s="123">
        <v>60.8341666666666</v>
      </c>
      <c r="CJ10" s="123">
        <v>0.664969995523549</v>
      </c>
      <c r="CK10" s="123">
        <v>66.4969995523549</v>
      </c>
      <c r="CL10" s="123">
        <v>0.87184</v>
      </c>
      <c r="CM10" s="123">
        <v>87.184</v>
      </c>
      <c r="CN10" s="123">
        <v>0.9315</v>
      </c>
      <c r="CO10" s="123">
        <v>93.15</v>
      </c>
      <c r="CP10" s="123">
        <v>91.64</v>
      </c>
      <c r="CQ10" s="123"/>
      <c r="CR10" s="123">
        <v>84.6177498880887</v>
      </c>
      <c r="CS10" s="123">
        <v>74.3927811014149</v>
      </c>
      <c r="CT10" s="154"/>
      <c r="CU10" s="154"/>
      <c r="CV10" s="154"/>
      <c r="CW10" s="154">
        <v>1</v>
      </c>
      <c r="CX10" s="143">
        <v>100</v>
      </c>
      <c r="CY10" s="154">
        <v>1</v>
      </c>
      <c r="CZ10" s="143">
        <v>100</v>
      </c>
      <c r="DA10" s="154">
        <v>1</v>
      </c>
      <c r="DB10" s="143">
        <v>100</v>
      </c>
      <c r="DC10" s="154">
        <v>1</v>
      </c>
      <c r="DD10" s="123">
        <v>100</v>
      </c>
      <c r="DE10" s="155"/>
      <c r="DF10" s="144">
        <v>1</v>
      </c>
      <c r="DG10" s="144">
        <v>100</v>
      </c>
      <c r="DH10" s="144">
        <v>100</v>
      </c>
      <c r="DI10" s="144">
        <v>1</v>
      </c>
      <c r="DJ10" s="143">
        <v>100</v>
      </c>
      <c r="DK10" s="144"/>
      <c r="DL10" s="144">
        <v>0</v>
      </c>
      <c r="DM10" s="123">
        <v>0</v>
      </c>
      <c r="DN10" s="154"/>
      <c r="DO10" s="154">
        <v>1</v>
      </c>
      <c r="DP10" s="143">
        <v>100</v>
      </c>
      <c r="DQ10" s="154"/>
      <c r="DR10" s="154">
        <v>1</v>
      </c>
      <c r="DS10" s="145">
        <v>1</v>
      </c>
      <c r="DT10" s="143">
        <v>100</v>
      </c>
      <c r="DU10" s="154">
        <v>1</v>
      </c>
      <c r="DV10" s="146">
        <v>100</v>
      </c>
      <c r="DW10" s="163">
        <v>1</v>
      </c>
      <c r="DX10" s="147">
        <v>100</v>
      </c>
      <c r="DY10" s="147">
        <v>100</v>
      </c>
      <c r="DZ10" s="164">
        <v>5</v>
      </c>
      <c r="EA10" s="126"/>
      <c r="EB10" s="126"/>
      <c r="EC10" s="123">
        <v>2</v>
      </c>
      <c r="ED10" s="123">
        <v>100</v>
      </c>
      <c r="EE10" s="123"/>
      <c r="EF10" s="123"/>
      <c r="EG10" s="123"/>
      <c r="EH10" s="165">
        <v>591</v>
      </c>
      <c r="EI10" s="123"/>
      <c r="EJ10" s="123"/>
      <c r="EK10" s="123"/>
      <c r="EL10" s="123"/>
      <c r="EM10" s="125"/>
      <c r="EN10" s="125"/>
      <c r="EO10" s="125"/>
      <c r="EP10" s="125"/>
      <c r="EQ10" s="125"/>
      <c r="ER10" s="123"/>
      <c r="ES10" s="123"/>
      <c r="ET10" s="123"/>
      <c r="EU10" s="123"/>
      <c r="EV10" s="123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3"/>
      <c r="FK10" s="123"/>
      <c r="FL10" s="123"/>
      <c r="FM10" s="123"/>
      <c r="FN10" s="123"/>
      <c r="FO10" s="123"/>
      <c r="FP10" s="123"/>
      <c r="FQ10" s="123"/>
      <c r="FR10" s="123"/>
      <c r="FS10" s="123"/>
      <c r="FT10" s="149"/>
      <c r="FU10" s="150"/>
      <c r="FV10" s="150">
        <v>50</v>
      </c>
      <c r="FW10" s="123">
        <v>36</v>
      </c>
      <c r="FX10" s="145">
        <v>43</v>
      </c>
      <c r="FY10" s="151"/>
      <c r="FZ10" s="151"/>
      <c r="GA10" s="151">
        <v>1.218405</v>
      </c>
      <c r="GB10" s="123">
        <v>0.820745154525794</v>
      </c>
      <c r="GC10" s="123"/>
      <c r="GD10" s="123">
        <v>82.0745154525794</v>
      </c>
      <c r="GE10" s="123"/>
      <c r="GF10" s="123"/>
      <c r="GG10" s="126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>
        <v>464</v>
      </c>
      <c r="GR10" s="123"/>
      <c r="GS10" s="123">
        <v>473</v>
      </c>
      <c r="GT10" s="123"/>
      <c r="GU10" s="123"/>
      <c r="GV10" s="123">
        <v>108977</v>
      </c>
      <c r="GW10" s="123"/>
      <c r="GX10" s="123"/>
      <c r="GY10" s="123"/>
      <c r="GZ10" s="123"/>
      <c r="HA10" s="123">
        <v>6191</v>
      </c>
      <c r="HB10" s="123"/>
      <c r="HC10" s="123"/>
      <c r="HD10" s="123"/>
      <c r="HE10" s="123"/>
      <c r="HF10" s="123">
        <v>4849</v>
      </c>
      <c r="HG10" s="123"/>
      <c r="HH10" s="123"/>
      <c r="HI10" s="123"/>
      <c r="HJ10" s="123"/>
      <c r="HK10" s="123">
        <v>2828</v>
      </c>
    </row>
    <row r="11" s="123" customFormat="1" ht="15" spans="1:227">
      <c r="A11" s="137" t="s">
        <v>328</v>
      </c>
      <c r="B11" s="138" t="s">
        <v>329</v>
      </c>
      <c r="C11" s="138" t="s">
        <v>330</v>
      </c>
      <c r="D11" s="138" t="s">
        <v>292</v>
      </c>
      <c r="E11" s="139" t="s">
        <v>293</v>
      </c>
      <c r="F11" s="138" t="s">
        <v>331</v>
      </c>
      <c r="G11" s="140"/>
      <c r="H11" s="141">
        <v>143533851</v>
      </c>
      <c r="I11" s="142">
        <v>354.746177800845</v>
      </c>
      <c r="J11" s="213" t="s">
        <v>332</v>
      </c>
      <c r="K11" s="126">
        <v>311.654508417673</v>
      </c>
      <c r="L11" s="123">
        <v>624</v>
      </c>
      <c r="M11" s="123">
        <v>624</v>
      </c>
      <c r="N11" s="123"/>
      <c r="O11" s="123"/>
      <c r="P11" s="123"/>
      <c r="Q11" s="123"/>
      <c r="R11" s="123">
        <v>41</v>
      </c>
      <c r="S11" s="123"/>
      <c r="T11" s="123"/>
      <c r="U11" s="123"/>
      <c r="V11" s="123"/>
      <c r="W11" s="123">
        <v>3</v>
      </c>
      <c r="X11" s="123"/>
      <c r="Y11" s="123"/>
      <c r="Z11" s="123"/>
      <c r="AA11" s="123"/>
      <c r="AB11" s="123">
        <v>10</v>
      </c>
      <c r="AC11" s="153"/>
      <c r="AD11" s="153"/>
      <c r="AE11" s="153"/>
      <c r="AF11" s="153"/>
      <c r="AG11" s="153"/>
      <c r="AH11" s="153"/>
      <c r="AI11" s="153">
        <v>180</v>
      </c>
      <c r="AJ11" s="126"/>
      <c r="AK11" s="126"/>
      <c r="AL11" s="126"/>
      <c r="AM11" s="126"/>
      <c r="AN11" s="123">
        <v>71457</v>
      </c>
      <c r="AO11" s="123"/>
      <c r="AP11" s="123"/>
      <c r="AQ11" s="123"/>
      <c r="AR11" s="123">
        <v>98725.62</v>
      </c>
      <c r="AS11" s="126"/>
      <c r="AT11" s="126"/>
      <c r="AU11" s="126"/>
      <c r="AV11" s="126"/>
      <c r="AW11" s="126">
        <v>90.6</v>
      </c>
      <c r="AX11" s="126"/>
      <c r="AY11" s="126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>
        <v>61</v>
      </c>
      <c r="BN11" s="123">
        <v>33</v>
      </c>
      <c r="BO11" s="123">
        <v>104</v>
      </c>
      <c r="BP11" s="139">
        <v>309</v>
      </c>
      <c r="BQ11" s="139">
        <v>3</v>
      </c>
      <c r="BR11" s="123">
        <f t="shared" si="0"/>
        <v>406</v>
      </c>
      <c r="BS11" s="139"/>
      <c r="BT11" s="139"/>
      <c r="BU11" s="139"/>
      <c r="BV11" s="139"/>
      <c r="BW11" s="139"/>
      <c r="BX11" s="139"/>
      <c r="BY11" s="139"/>
      <c r="BZ11" s="139">
        <v>13.24</v>
      </c>
      <c r="CA11" s="139">
        <v>13.27</v>
      </c>
      <c r="CB11" s="139">
        <v>26.42</v>
      </c>
      <c r="CC11" s="139">
        <v>12.74</v>
      </c>
      <c r="CD11" s="139">
        <v>12.26</v>
      </c>
      <c r="CE11" s="139">
        <v>15.57</v>
      </c>
      <c r="CF11" s="139">
        <v>15.5833333333333</v>
      </c>
      <c r="CG11" s="123">
        <v>0.832</v>
      </c>
      <c r="CH11" s="123">
        <v>83.2</v>
      </c>
      <c r="CI11" s="123">
        <v>49.3916666666667</v>
      </c>
      <c r="CJ11" s="123">
        <v>0.896892633226823</v>
      </c>
      <c r="CK11" s="123">
        <v>89.6892633226823</v>
      </c>
      <c r="CL11" s="123">
        <v>0.85325</v>
      </c>
      <c r="CM11" s="123">
        <v>85.325</v>
      </c>
      <c r="CN11" s="123">
        <v>0.6438</v>
      </c>
      <c r="CO11" s="123">
        <v>64.38</v>
      </c>
      <c r="CP11" s="123">
        <v>92.13</v>
      </c>
      <c r="CQ11" s="123"/>
      <c r="CR11" s="123">
        <v>82.8810658306706</v>
      </c>
      <c r="CS11" s="123">
        <v>74.1259485168426</v>
      </c>
      <c r="CT11" s="154"/>
      <c r="CU11" s="154"/>
      <c r="CV11" s="154"/>
      <c r="CW11" s="154">
        <v>1</v>
      </c>
      <c r="CX11" s="143">
        <v>100</v>
      </c>
      <c r="CY11" s="154">
        <v>1</v>
      </c>
      <c r="CZ11" s="143">
        <v>100</v>
      </c>
      <c r="DA11" s="154">
        <v>1</v>
      </c>
      <c r="DB11" s="143">
        <v>100</v>
      </c>
      <c r="DC11" s="154">
        <v>1</v>
      </c>
      <c r="DD11" s="123">
        <v>100</v>
      </c>
      <c r="DE11" s="155"/>
      <c r="DF11" s="144">
        <v>1</v>
      </c>
      <c r="DG11" s="144">
        <v>100</v>
      </c>
      <c r="DH11" s="144">
        <v>100</v>
      </c>
      <c r="DI11" s="144">
        <v>1</v>
      </c>
      <c r="DJ11" s="143">
        <v>100</v>
      </c>
      <c r="DK11" s="144"/>
      <c r="DL11" s="144">
        <v>0</v>
      </c>
      <c r="DM11" s="123">
        <v>0</v>
      </c>
      <c r="DN11" s="154"/>
      <c r="DO11" s="154">
        <v>1</v>
      </c>
      <c r="DP11" s="143">
        <v>100</v>
      </c>
      <c r="DQ11" s="154"/>
      <c r="DR11" s="154">
        <v>0</v>
      </c>
      <c r="DS11" s="145">
        <v>0</v>
      </c>
      <c r="DT11" s="143">
        <v>0</v>
      </c>
      <c r="DU11" s="154">
        <v>1</v>
      </c>
      <c r="DV11" s="146">
        <v>100</v>
      </c>
      <c r="DW11" s="146">
        <v>0</v>
      </c>
      <c r="DX11" s="147">
        <v>0</v>
      </c>
      <c r="DY11" s="147">
        <v>33.3333333333333</v>
      </c>
      <c r="DZ11" s="157">
        <v>2</v>
      </c>
      <c r="EA11" s="126"/>
      <c r="EB11" s="126"/>
      <c r="EC11" s="123">
        <v>2</v>
      </c>
      <c r="ED11" s="123">
        <v>100</v>
      </c>
      <c r="EE11" s="123"/>
      <c r="EF11" s="123"/>
      <c r="EG11" s="123"/>
      <c r="EH11" s="165">
        <v>488</v>
      </c>
      <c r="EI11" s="123"/>
      <c r="EJ11" s="123"/>
      <c r="EK11" s="123"/>
      <c r="EL11" s="123"/>
      <c r="EM11" s="150"/>
      <c r="EN11" s="150"/>
      <c r="EO11" s="150"/>
      <c r="EP11" s="150"/>
      <c r="EQ11" s="216" t="s">
        <v>333</v>
      </c>
      <c r="ER11" s="123">
        <v>80.6136363636364</v>
      </c>
      <c r="ES11" s="123"/>
      <c r="ET11" s="123"/>
      <c r="EU11" s="123"/>
      <c r="EV11" s="123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3"/>
      <c r="FK11" s="123"/>
      <c r="FL11" s="123"/>
      <c r="FM11" s="123"/>
      <c r="FN11" s="123"/>
      <c r="FO11" s="123"/>
      <c r="FP11" s="123"/>
      <c r="FQ11" s="123"/>
      <c r="FR11" s="123"/>
      <c r="FS11" s="123"/>
      <c r="FT11" s="149"/>
      <c r="FU11" s="150"/>
      <c r="FV11" s="150"/>
      <c r="FW11" s="123"/>
      <c r="FX11" s="145"/>
      <c r="FY11" s="151"/>
      <c r="FZ11" s="151"/>
      <c r="GA11" s="151">
        <v>4.833333</v>
      </c>
      <c r="GB11" s="123">
        <v>0.206896565992867</v>
      </c>
      <c r="GC11" s="123"/>
      <c r="GD11" s="123">
        <v>20.6896565992867</v>
      </c>
      <c r="GE11" s="123"/>
      <c r="GF11" s="123"/>
      <c r="GG11" s="126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>
        <v>2</v>
      </c>
      <c r="GR11" s="126"/>
      <c r="GS11" s="126"/>
      <c r="GT11" s="126"/>
      <c r="GU11" s="126"/>
      <c r="GV11" s="123">
        <v>9118</v>
      </c>
      <c r="GW11" s="123"/>
      <c r="GX11" s="123"/>
      <c r="GY11" s="123"/>
      <c r="GZ11" s="123"/>
      <c r="HA11" s="123">
        <v>51</v>
      </c>
      <c r="HB11" s="123"/>
      <c r="HC11" s="123"/>
      <c r="HD11" s="123"/>
      <c r="HE11" s="123"/>
      <c r="HF11" s="123">
        <v>31</v>
      </c>
      <c r="HG11" s="123"/>
      <c r="HH11" s="123"/>
      <c r="HI11" s="123"/>
      <c r="HJ11" s="123"/>
      <c r="HK11" s="123">
        <v>25</v>
      </c>
    </row>
    <row r="12" s="123" customFormat="1" ht="15" spans="1:227">
      <c r="A12" s="137" t="s">
        <v>334</v>
      </c>
      <c r="B12" s="138" t="s">
        <v>335</v>
      </c>
      <c r="C12" s="138" t="s">
        <v>335</v>
      </c>
      <c r="D12" s="138" t="s">
        <v>336</v>
      </c>
      <c r="E12" s="139" t="s">
        <v>337</v>
      </c>
      <c r="F12" s="138" t="s">
        <v>338</v>
      </c>
      <c r="G12" s="140"/>
      <c r="H12" s="141">
        <v>1450935791</v>
      </c>
      <c r="I12" s="142">
        <v>3586.01070413485</v>
      </c>
      <c r="J12" s="139">
        <v>3912686168582.21</v>
      </c>
      <c r="K12" s="126">
        <v>560.946820693481</v>
      </c>
      <c r="L12" s="123">
        <v>7645</v>
      </c>
      <c r="M12" s="123">
        <v>7645</v>
      </c>
      <c r="N12" s="123"/>
      <c r="O12" s="123"/>
      <c r="P12" s="123"/>
      <c r="Q12" s="123"/>
      <c r="R12" s="123">
        <v>11949</v>
      </c>
      <c r="S12" s="123"/>
      <c r="T12" s="123"/>
      <c r="U12" s="123"/>
      <c r="V12" s="123"/>
      <c r="W12" s="123">
        <v>117</v>
      </c>
      <c r="X12" s="123"/>
      <c r="Y12" s="123"/>
      <c r="Z12" s="123"/>
      <c r="AA12" s="123"/>
      <c r="AB12" s="123">
        <v>14</v>
      </c>
      <c r="AC12" s="153"/>
      <c r="AD12" s="153"/>
      <c r="AE12" s="153"/>
      <c r="AF12" s="153"/>
      <c r="AG12" s="153"/>
      <c r="AH12" s="153"/>
      <c r="AI12" s="153">
        <v>269</v>
      </c>
      <c r="AJ12" s="126"/>
      <c r="AK12" s="126"/>
      <c r="AL12" s="126"/>
      <c r="AM12" s="126"/>
      <c r="AN12" s="123">
        <v>29411.69</v>
      </c>
      <c r="AO12" s="123"/>
      <c r="AP12" s="123"/>
      <c r="AQ12" s="123"/>
      <c r="AR12" s="123">
        <v>38541.096</v>
      </c>
      <c r="AS12" s="126"/>
      <c r="AT12" s="126"/>
      <c r="AU12" s="126"/>
      <c r="AV12" s="126"/>
      <c r="AW12" s="126">
        <v>90.1</v>
      </c>
      <c r="AX12" s="126"/>
      <c r="AY12" s="126"/>
      <c r="AZ12" s="123"/>
      <c r="BA12" s="123"/>
      <c r="BB12" s="123"/>
      <c r="BC12" s="123"/>
      <c r="BD12" s="123"/>
      <c r="BE12" s="123">
        <v>74</v>
      </c>
      <c r="BF12" s="123"/>
      <c r="BG12" s="123"/>
      <c r="BH12" s="123"/>
      <c r="BI12" s="123"/>
      <c r="BJ12" s="123"/>
      <c r="BK12" s="123"/>
      <c r="BL12" s="123"/>
      <c r="BM12" s="123">
        <v>22</v>
      </c>
      <c r="BN12" s="123">
        <v>49</v>
      </c>
      <c r="BO12" s="123">
        <v>167</v>
      </c>
      <c r="BP12" s="139">
        <v>369</v>
      </c>
      <c r="BQ12" s="139">
        <v>0</v>
      </c>
      <c r="BR12" s="123">
        <f t="shared" si="0"/>
        <v>440</v>
      </c>
      <c r="BS12" s="139"/>
      <c r="BT12" s="139"/>
      <c r="BU12" s="139"/>
      <c r="BV12" s="139"/>
      <c r="BW12" s="139"/>
      <c r="BX12" s="139"/>
      <c r="BY12" s="139"/>
      <c r="BZ12" s="139">
        <v>51.47</v>
      </c>
      <c r="CA12" s="139">
        <v>21.33</v>
      </c>
      <c r="CB12" s="139">
        <v>67.92</v>
      </c>
      <c r="CC12" s="139">
        <v>47.17</v>
      </c>
      <c r="CD12" s="139">
        <v>56.13</v>
      </c>
      <c r="CE12" s="139">
        <v>41.51</v>
      </c>
      <c r="CF12" s="139">
        <v>47.5883333333333</v>
      </c>
      <c r="CG12" s="123">
        <v>0.685</v>
      </c>
      <c r="CH12" s="123">
        <v>68.5</v>
      </c>
      <c r="CI12" s="123">
        <v>58.0441666666667</v>
      </c>
      <c r="CJ12" s="123">
        <v>0.940032733548006</v>
      </c>
      <c r="CK12" s="123">
        <v>94.0032733548006</v>
      </c>
      <c r="CL12" s="123">
        <v>0.66776</v>
      </c>
      <c r="CM12" s="123">
        <v>66.776</v>
      </c>
      <c r="CN12" s="123">
        <v>0.6575</v>
      </c>
      <c r="CO12" s="123">
        <v>65.75</v>
      </c>
      <c r="CP12" s="123">
        <v>98.49</v>
      </c>
      <c r="CQ12" s="123"/>
      <c r="CR12" s="123">
        <v>81.2548183387001</v>
      </c>
      <c r="CS12" s="123">
        <v>66.9546024976657</v>
      </c>
      <c r="CT12" s="154"/>
      <c r="CU12" s="154"/>
      <c r="CV12" s="154"/>
      <c r="CW12" s="154">
        <v>1</v>
      </c>
      <c r="CX12" s="143">
        <v>100</v>
      </c>
      <c r="CY12" s="154">
        <v>1</v>
      </c>
      <c r="CZ12" s="143">
        <v>100</v>
      </c>
      <c r="DA12" s="154">
        <v>1</v>
      </c>
      <c r="DB12" s="143">
        <v>100</v>
      </c>
      <c r="DC12" s="154">
        <v>1</v>
      </c>
      <c r="DD12" s="123">
        <v>100</v>
      </c>
      <c r="DE12" s="155"/>
      <c r="DF12" s="144">
        <v>0</v>
      </c>
      <c r="DG12" s="144">
        <v>0</v>
      </c>
      <c r="DH12" s="144">
        <v>0</v>
      </c>
      <c r="DI12" s="144">
        <v>0</v>
      </c>
      <c r="DJ12" s="143">
        <v>0</v>
      </c>
      <c r="DK12" s="144"/>
      <c r="DL12" s="144">
        <v>1</v>
      </c>
      <c r="DM12" s="123">
        <v>100</v>
      </c>
      <c r="DN12" s="154"/>
      <c r="DO12" s="154">
        <v>0</v>
      </c>
      <c r="DP12" s="143">
        <v>0</v>
      </c>
      <c r="DQ12" s="154"/>
      <c r="DR12" s="154">
        <v>0</v>
      </c>
      <c r="DS12" s="145">
        <v>0</v>
      </c>
      <c r="DT12" s="143">
        <v>0</v>
      </c>
      <c r="DU12" s="154">
        <v>0</v>
      </c>
      <c r="DV12" s="146">
        <v>0</v>
      </c>
      <c r="DW12" s="146">
        <v>0</v>
      </c>
      <c r="DX12" s="147">
        <v>0</v>
      </c>
      <c r="DY12" s="147">
        <v>0</v>
      </c>
      <c r="DZ12" s="157">
        <v>5</v>
      </c>
      <c r="EA12" s="126"/>
      <c r="EB12" s="126"/>
      <c r="EC12" s="123">
        <v>2</v>
      </c>
      <c r="ED12" s="123">
        <v>100</v>
      </c>
      <c r="EE12" s="123"/>
      <c r="EF12" s="123"/>
      <c r="EG12" s="123"/>
      <c r="EH12" s="123"/>
      <c r="EI12" s="123"/>
      <c r="EJ12" s="123"/>
      <c r="EK12" s="123"/>
      <c r="EL12" s="123">
        <v>28.4</v>
      </c>
      <c r="EM12" s="150"/>
      <c r="EN12" s="150"/>
      <c r="EO12" s="150"/>
      <c r="EP12" s="150"/>
      <c r="EQ12" s="216" t="s">
        <v>339</v>
      </c>
      <c r="ER12" s="123">
        <v>66.5681818181818</v>
      </c>
      <c r="ES12" s="123">
        <v>0.67</v>
      </c>
      <c r="ET12" s="123">
        <v>0.65</v>
      </c>
      <c r="EU12" s="123"/>
      <c r="EV12" s="123">
        <v>66</v>
      </c>
      <c r="EW12" s="123"/>
      <c r="EX12" s="123"/>
      <c r="EY12" s="123">
        <v>0.67</v>
      </c>
      <c r="EZ12" s="123">
        <v>0.65</v>
      </c>
      <c r="FA12" s="123"/>
      <c r="FB12" s="123">
        <v>66</v>
      </c>
      <c r="FC12" s="123">
        <v>0.67</v>
      </c>
      <c r="FD12" s="123">
        <v>0.49</v>
      </c>
      <c r="FE12" s="123">
        <v>0.23</v>
      </c>
      <c r="FF12" s="123">
        <v>0.5</v>
      </c>
      <c r="FG12" s="123">
        <v>0.22</v>
      </c>
      <c r="FH12" s="123">
        <v>0.51</v>
      </c>
      <c r="FI12" s="123">
        <v>0.23</v>
      </c>
      <c r="FJ12" s="123">
        <v>0.5</v>
      </c>
      <c r="FK12" s="123">
        <v>0.23</v>
      </c>
      <c r="FL12" s="123">
        <v>0.55</v>
      </c>
      <c r="FM12" s="123">
        <v>0.18</v>
      </c>
      <c r="FN12" s="123">
        <v>0.48</v>
      </c>
      <c r="FO12" s="123">
        <v>0.23</v>
      </c>
      <c r="FP12" s="123">
        <v>0.49</v>
      </c>
      <c r="FQ12" s="123">
        <v>0.22</v>
      </c>
      <c r="FR12" s="123">
        <v>38.2</v>
      </c>
      <c r="FS12" s="123">
        <v>0.66</v>
      </c>
      <c r="FT12" s="149">
        <v>0.67</v>
      </c>
      <c r="FU12" s="150">
        <v>66.5</v>
      </c>
      <c r="FV12" s="150">
        <v>59</v>
      </c>
      <c r="FW12" s="123">
        <v>27</v>
      </c>
      <c r="FX12" s="145">
        <v>43</v>
      </c>
      <c r="FY12" s="151"/>
      <c r="FZ12" s="151"/>
      <c r="GA12" s="151">
        <v>2.917664</v>
      </c>
      <c r="GB12" s="123">
        <v>0.342739945380962</v>
      </c>
      <c r="GC12" s="123"/>
      <c r="GD12" s="123">
        <v>34.2739945380962</v>
      </c>
      <c r="GE12" s="123">
        <v>0.735</v>
      </c>
      <c r="GF12" s="123">
        <v>0.854</v>
      </c>
      <c r="GG12" s="126">
        <v>79.45</v>
      </c>
      <c r="GH12" s="123"/>
      <c r="GI12" s="123"/>
      <c r="GJ12" s="123"/>
      <c r="GK12" s="123"/>
      <c r="GL12" s="123"/>
      <c r="GM12" s="123"/>
      <c r="GN12" s="123"/>
      <c r="GO12" s="123"/>
      <c r="GP12" s="123"/>
      <c r="GQ12" s="123">
        <v>51</v>
      </c>
      <c r="GR12" s="123"/>
      <c r="GS12" s="123">
        <v>24</v>
      </c>
      <c r="GT12" s="123"/>
      <c r="GU12" s="123"/>
      <c r="GV12" s="123">
        <v>26988</v>
      </c>
      <c r="GW12" s="123"/>
      <c r="GX12" s="123"/>
      <c r="GY12" s="123"/>
      <c r="GZ12" s="123"/>
      <c r="HA12" s="123">
        <v>868</v>
      </c>
      <c r="HB12" s="123"/>
      <c r="HC12" s="123"/>
      <c r="HD12" s="123"/>
      <c r="HE12" s="123"/>
      <c r="HF12" s="123">
        <v>353</v>
      </c>
      <c r="HG12" s="123"/>
      <c r="HH12" s="123"/>
      <c r="HI12" s="123"/>
      <c r="HJ12" s="123"/>
      <c r="HK12" s="123">
        <v>482</v>
      </c>
    </row>
    <row r="13" s="123" customFormat="1" ht="15" spans="1:227">
      <c r="A13" s="137" t="s">
        <v>340</v>
      </c>
      <c r="B13" s="138" t="s">
        <v>341</v>
      </c>
      <c r="C13" s="138" t="s">
        <v>341</v>
      </c>
      <c r="D13" s="138" t="s">
        <v>324</v>
      </c>
      <c r="E13" s="139" t="s">
        <v>325</v>
      </c>
      <c r="F13" s="138" t="s">
        <v>342</v>
      </c>
      <c r="G13" s="140"/>
      <c r="H13" s="141">
        <v>211998573</v>
      </c>
      <c r="I13" s="142">
        <v>523.957818640172</v>
      </c>
      <c r="J13" s="139">
        <v>2179412080828.59</v>
      </c>
      <c r="K13" s="126">
        <v>312.453957472586</v>
      </c>
      <c r="L13" s="123">
        <v>2746</v>
      </c>
      <c r="M13" s="123">
        <v>2746</v>
      </c>
      <c r="N13" s="123"/>
      <c r="O13" s="123"/>
      <c r="P13" s="123"/>
      <c r="Q13" s="123"/>
      <c r="R13" s="123">
        <v>4884</v>
      </c>
      <c r="S13" s="123"/>
      <c r="T13" s="123"/>
      <c r="U13" s="123"/>
      <c r="V13" s="123"/>
      <c r="W13" s="123">
        <v>0</v>
      </c>
      <c r="X13" s="123"/>
      <c r="Y13" s="123"/>
      <c r="Z13" s="123"/>
      <c r="AA13" s="123"/>
      <c r="AB13" s="123">
        <v>7</v>
      </c>
      <c r="AC13" s="153"/>
      <c r="AD13" s="153"/>
      <c r="AE13" s="153"/>
      <c r="AF13" s="153"/>
      <c r="AG13" s="153"/>
      <c r="AH13" s="153"/>
      <c r="AI13" s="153">
        <v>195</v>
      </c>
      <c r="AJ13" s="126"/>
      <c r="AK13" s="126"/>
      <c r="AL13" s="126"/>
      <c r="AM13" s="126"/>
      <c r="AN13" s="123">
        <v>67911.65</v>
      </c>
      <c r="AO13" s="123"/>
      <c r="AP13" s="123"/>
      <c r="AQ13" s="123"/>
      <c r="AR13" s="123">
        <v>122168.142</v>
      </c>
      <c r="AS13" s="126"/>
      <c r="AT13" s="126"/>
      <c r="AU13" s="126"/>
      <c r="AV13" s="126"/>
      <c r="AW13" s="126">
        <v>82</v>
      </c>
      <c r="AX13" s="126"/>
      <c r="AY13" s="126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>
        <v>37</v>
      </c>
      <c r="BN13" s="123">
        <v>18</v>
      </c>
      <c r="BO13" s="123">
        <v>74</v>
      </c>
      <c r="BP13" s="139">
        <v>159</v>
      </c>
      <c r="BQ13" s="139">
        <v>0</v>
      </c>
      <c r="BR13" s="123">
        <f t="shared" si="0"/>
        <v>214</v>
      </c>
      <c r="BS13" s="139"/>
      <c r="BT13" s="139"/>
      <c r="BU13" s="139"/>
      <c r="BV13" s="139"/>
      <c r="BW13" s="139"/>
      <c r="BX13" s="139"/>
      <c r="BY13" s="139"/>
      <c r="BZ13" s="139">
        <v>59.8</v>
      </c>
      <c r="CA13" s="139">
        <v>28.44</v>
      </c>
      <c r="CB13" s="139">
        <v>32.08</v>
      </c>
      <c r="CC13" s="139">
        <v>40.09</v>
      </c>
      <c r="CD13" s="139">
        <v>41.98</v>
      </c>
      <c r="CE13" s="139">
        <v>34.43</v>
      </c>
      <c r="CF13" s="139">
        <v>39.47</v>
      </c>
      <c r="CG13" s="123">
        <v>0.786</v>
      </c>
      <c r="CH13" s="123">
        <v>78.6</v>
      </c>
      <c r="CI13" s="123">
        <v>59.035</v>
      </c>
      <c r="CJ13" s="123">
        <v>0.97496842161627</v>
      </c>
      <c r="CK13" s="123">
        <v>97.496842161627</v>
      </c>
      <c r="CL13" s="123">
        <v>0.84026</v>
      </c>
      <c r="CM13" s="123">
        <v>84.026</v>
      </c>
      <c r="CN13" s="123">
        <v>0.863</v>
      </c>
      <c r="CO13" s="123">
        <v>86.3</v>
      </c>
      <c r="CP13" s="123">
        <v>96.38</v>
      </c>
      <c r="CQ13" s="123">
        <v>66.85</v>
      </c>
      <c r="CR13" s="123">
        <v>91.0507105404068</v>
      </c>
      <c r="CS13" s="123">
        <v>73.8122053369833</v>
      </c>
      <c r="CT13" s="154"/>
      <c r="CU13" s="154"/>
      <c r="CV13" s="154"/>
      <c r="CW13" s="154">
        <v>1</v>
      </c>
      <c r="CX13" s="143">
        <v>100</v>
      </c>
      <c r="CY13" s="154">
        <v>1</v>
      </c>
      <c r="CZ13" s="143">
        <v>100</v>
      </c>
      <c r="DA13" s="154">
        <v>1</v>
      </c>
      <c r="DB13" s="143">
        <v>100</v>
      </c>
      <c r="DC13" s="154">
        <v>1</v>
      </c>
      <c r="DD13" s="123">
        <v>100</v>
      </c>
      <c r="DE13" s="155"/>
      <c r="DF13" s="144">
        <v>0</v>
      </c>
      <c r="DG13" s="144">
        <v>0</v>
      </c>
      <c r="DH13" s="144">
        <v>0</v>
      </c>
      <c r="DI13" s="144">
        <v>0</v>
      </c>
      <c r="DJ13" s="143">
        <v>0</v>
      </c>
      <c r="DK13" s="144"/>
      <c r="DL13" s="144">
        <v>0</v>
      </c>
      <c r="DM13" s="123">
        <v>0</v>
      </c>
      <c r="DN13" s="154"/>
      <c r="DO13" s="154">
        <v>0</v>
      </c>
      <c r="DP13" s="143">
        <v>0</v>
      </c>
      <c r="DQ13" s="154"/>
      <c r="DR13" s="154">
        <v>1</v>
      </c>
      <c r="DS13" s="145">
        <v>1</v>
      </c>
      <c r="DT13" s="143">
        <v>100</v>
      </c>
      <c r="DU13" s="154">
        <v>0</v>
      </c>
      <c r="DV13" s="146">
        <v>0</v>
      </c>
      <c r="DW13" s="166">
        <v>0</v>
      </c>
      <c r="DX13" s="147">
        <v>0</v>
      </c>
      <c r="DY13" s="147">
        <v>33.3333333333333</v>
      </c>
      <c r="DZ13" s="157">
        <v>4</v>
      </c>
      <c r="EA13" s="126"/>
      <c r="EB13" s="126"/>
      <c r="EC13" s="123">
        <v>2</v>
      </c>
      <c r="ED13" s="123">
        <v>100</v>
      </c>
      <c r="EE13" s="123"/>
      <c r="EF13" s="123"/>
      <c r="EG13" s="123"/>
      <c r="EH13">
        <v>384</v>
      </c>
      <c r="EI13" s="123"/>
      <c r="EJ13" s="123">
        <v>379</v>
      </c>
      <c r="EK13" s="123"/>
      <c r="EL13" s="123">
        <v>6.5</v>
      </c>
      <c r="EM13" s="150"/>
      <c r="EN13" s="150"/>
      <c r="EO13" s="150"/>
      <c r="EP13" s="150"/>
      <c r="EQ13" s="216" t="s">
        <v>343</v>
      </c>
      <c r="ER13" s="123">
        <v>60.5909090909091</v>
      </c>
      <c r="ES13" s="123">
        <v>0.66</v>
      </c>
      <c r="ET13" s="123">
        <v>0.58</v>
      </c>
      <c r="EU13" s="123">
        <v>68.88</v>
      </c>
      <c r="EV13" s="123">
        <v>64.2933333333333</v>
      </c>
      <c r="EW13" s="123"/>
      <c r="EX13" s="123"/>
      <c r="EY13" s="123">
        <v>0.58</v>
      </c>
      <c r="EZ13" s="123">
        <v>0.57</v>
      </c>
      <c r="FA13" s="123">
        <v>40</v>
      </c>
      <c r="FB13" s="123">
        <v>51.6666666666667</v>
      </c>
      <c r="FC13" s="123">
        <v>0.58</v>
      </c>
      <c r="FD13" s="123">
        <v>0.33</v>
      </c>
      <c r="FE13" s="123">
        <v>0.25</v>
      </c>
      <c r="FF13" s="123">
        <v>0.5</v>
      </c>
      <c r="FG13" s="123">
        <v>0.26</v>
      </c>
      <c r="FH13" s="123">
        <v>0.51</v>
      </c>
      <c r="FI13" s="123">
        <v>0.28</v>
      </c>
      <c r="FJ13" s="123">
        <v>0.43</v>
      </c>
      <c r="FK13" s="123">
        <v>0.34</v>
      </c>
      <c r="FL13" s="123">
        <v>0.44</v>
      </c>
      <c r="FM13" s="123">
        <v>0.33</v>
      </c>
      <c r="FN13" s="123">
        <v>0.4</v>
      </c>
      <c r="FO13" s="123">
        <v>0.25</v>
      </c>
      <c r="FP13" s="123">
        <v>0.37</v>
      </c>
      <c r="FQ13" s="123">
        <v>0.3</v>
      </c>
      <c r="FR13" s="123">
        <v>37.1333333333333</v>
      </c>
      <c r="FS13" s="123">
        <v>0.47</v>
      </c>
      <c r="FT13" s="149">
        <v>0.54</v>
      </c>
      <c r="FU13" s="150">
        <v>50.5</v>
      </c>
      <c r="FV13" s="150"/>
      <c r="FW13" s="123"/>
      <c r="FX13" s="145"/>
      <c r="FY13" s="151"/>
      <c r="FZ13" s="151"/>
      <c r="GA13" s="151">
        <v>3.522908</v>
      </c>
      <c r="GB13" s="123">
        <v>0.283856404992694</v>
      </c>
      <c r="GC13" s="123"/>
      <c r="GD13" s="123">
        <v>28.3856404992694</v>
      </c>
      <c r="GE13" s="123">
        <v>1</v>
      </c>
      <c r="GF13" s="123">
        <v>1</v>
      </c>
      <c r="GG13" s="126">
        <v>100</v>
      </c>
      <c r="GH13" s="123">
        <v>5.24</v>
      </c>
      <c r="GI13" s="123"/>
      <c r="GJ13" s="123"/>
      <c r="GK13" s="123">
        <v>66.35</v>
      </c>
      <c r="GL13" s="123">
        <v>66.35</v>
      </c>
      <c r="GM13" s="123">
        <v>97.41</v>
      </c>
      <c r="GN13" s="123">
        <v>97.41</v>
      </c>
      <c r="GO13" s="123"/>
      <c r="GP13" s="123"/>
      <c r="GQ13" s="123">
        <v>6</v>
      </c>
      <c r="GR13" s="123"/>
      <c r="GS13" s="123">
        <v>1</v>
      </c>
      <c r="GT13" s="123"/>
      <c r="GU13" s="123"/>
      <c r="GV13" s="123">
        <v>7871</v>
      </c>
      <c r="GW13" s="123"/>
      <c r="GX13" s="123"/>
      <c r="GY13" s="123"/>
      <c r="GZ13" s="123"/>
      <c r="HA13" s="123">
        <v>270</v>
      </c>
      <c r="HB13" s="123"/>
      <c r="HC13" s="123"/>
      <c r="HD13" s="123"/>
      <c r="HE13" s="123"/>
      <c r="HF13" s="123">
        <v>78</v>
      </c>
      <c r="HG13" s="123"/>
      <c r="HH13" s="123"/>
      <c r="HI13" s="123"/>
      <c r="HJ13" s="123"/>
      <c r="HK13" s="123">
        <v>210</v>
      </c>
    </row>
    <row r="14" s="123" customFormat="1" ht="15" spans="1:227">
      <c r="A14" s="137" t="s">
        <v>344</v>
      </c>
      <c r="B14" s="138" t="s">
        <v>345</v>
      </c>
      <c r="C14" s="138" t="s">
        <v>346</v>
      </c>
      <c r="D14" s="138" t="s">
        <v>324</v>
      </c>
      <c r="E14" s="139" t="s">
        <v>325</v>
      </c>
      <c r="F14" s="138" t="s">
        <v>347</v>
      </c>
      <c r="G14" s="140"/>
      <c r="H14" s="141">
        <v>64007187</v>
      </c>
      <c r="I14" s="142">
        <v>158.194772744124</v>
      </c>
      <c r="J14" s="139">
        <v>400260724226.067</v>
      </c>
      <c r="K14" s="126">
        <v>57.3838460405938</v>
      </c>
      <c r="L14" s="123">
        <v>328</v>
      </c>
      <c r="M14" s="123">
        <v>328</v>
      </c>
      <c r="N14" s="123"/>
      <c r="O14" s="123"/>
      <c r="P14" s="123"/>
      <c r="Q14" s="123"/>
      <c r="R14" s="123">
        <v>470</v>
      </c>
      <c r="S14" s="123"/>
      <c r="T14" s="123"/>
      <c r="U14" s="123"/>
      <c r="V14" s="123"/>
      <c r="W14" s="123">
        <v>0</v>
      </c>
      <c r="X14" s="150"/>
      <c r="Y14" s="150"/>
      <c r="Z14" s="150"/>
      <c r="AA14" s="150"/>
      <c r="AB14" s="150">
        <v>0</v>
      </c>
      <c r="AC14" s="153"/>
      <c r="AD14" s="153"/>
      <c r="AE14" s="153"/>
      <c r="AF14" s="153"/>
      <c r="AG14" s="153"/>
      <c r="AH14" s="153"/>
      <c r="AI14" s="153">
        <v>56</v>
      </c>
      <c r="AJ14" s="126"/>
      <c r="AK14" s="126"/>
      <c r="AL14" s="126"/>
      <c r="AM14" s="126"/>
      <c r="AN14" s="123"/>
      <c r="AO14" s="123"/>
      <c r="AP14" s="123"/>
      <c r="AQ14" s="123"/>
      <c r="AR14" s="123"/>
      <c r="AS14" s="126"/>
      <c r="AT14" s="126"/>
      <c r="AU14" s="126"/>
      <c r="AV14" s="126"/>
      <c r="AW14" s="126">
        <v>83.6</v>
      </c>
      <c r="AX14" s="126"/>
      <c r="AY14" s="126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>
        <v>2</v>
      </c>
      <c r="BN14" s="123">
        <v>7</v>
      </c>
      <c r="BO14" s="123">
        <v>3729</v>
      </c>
      <c r="BP14" s="139">
        <v>20</v>
      </c>
      <c r="BQ14" s="139">
        <v>0</v>
      </c>
      <c r="BR14" s="123">
        <f t="shared" si="0"/>
        <v>29</v>
      </c>
      <c r="BS14" s="139"/>
      <c r="BT14" s="139"/>
      <c r="BU14" s="139"/>
      <c r="BV14" s="139"/>
      <c r="BW14" s="139"/>
      <c r="BX14" s="139"/>
      <c r="BY14" s="139"/>
      <c r="BZ14" s="139">
        <v>70.59</v>
      </c>
      <c r="CA14" s="139">
        <v>20.85</v>
      </c>
      <c r="CB14" s="139">
        <v>40.57</v>
      </c>
      <c r="CC14" s="139">
        <v>44.34</v>
      </c>
      <c r="CD14" s="139">
        <v>54.25</v>
      </c>
      <c r="CE14" s="139">
        <v>45.75</v>
      </c>
      <c r="CF14" s="139">
        <v>46.0583333333333</v>
      </c>
      <c r="CG14" s="123">
        <v>0.741</v>
      </c>
      <c r="CH14" s="123">
        <v>74.1</v>
      </c>
      <c r="CI14" s="123">
        <v>60.0791666666667</v>
      </c>
      <c r="CJ14" s="123">
        <v>0.562248881500856</v>
      </c>
      <c r="CK14" s="123">
        <v>56.2248881500856</v>
      </c>
      <c r="CL14" s="123">
        <v>0.86162</v>
      </c>
      <c r="CM14" s="123">
        <v>86.162</v>
      </c>
      <c r="CN14" s="123">
        <v>0.8356</v>
      </c>
      <c r="CO14" s="123">
        <v>83.56</v>
      </c>
      <c r="CP14" s="123">
        <v>86.25</v>
      </c>
      <c r="CQ14" s="123">
        <v>47.79</v>
      </c>
      <c r="CR14" s="123">
        <v>78.0492220375214</v>
      </c>
      <c r="CS14" s="123">
        <v>64.1143094516595</v>
      </c>
      <c r="CT14" s="154"/>
      <c r="CU14" s="154"/>
      <c r="CV14" s="154"/>
      <c r="CW14" s="154">
        <v>1</v>
      </c>
      <c r="CX14" s="143">
        <v>100</v>
      </c>
      <c r="CY14" s="154">
        <v>1</v>
      </c>
      <c r="CZ14" s="143">
        <v>100</v>
      </c>
      <c r="DA14" s="154">
        <v>1</v>
      </c>
      <c r="DB14" s="143">
        <v>100</v>
      </c>
      <c r="DC14" s="154">
        <v>1</v>
      </c>
      <c r="DD14" s="123">
        <v>100</v>
      </c>
      <c r="DE14" s="155"/>
      <c r="DF14" s="144">
        <v>0</v>
      </c>
      <c r="DG14" s="144">
        <v>0</v>
      </c>
      <c r="DH14" s="144">
        <v>0</v>
      </c>
      <c r="DI14" s="144">
        <v>0</v>
      </c>
      <c r="DJ14" s="143">
        <v>0</v>
      </c>
      <c r="DK14" s="144"/>
      <c r="DL14" s="144">
        <v>0</v>
      </c>
      <c r="DM14" s="123">
        <v>0</v>
      </c>
      <c r="DN14" s="154"/>
      <c r="DO14" s="154">
        <v>0</v>
      </c>
      <c r="DP14" s="143">
        <v>0</v>
      </c>
      <c r="DQ14" s="154"/>
      <c r="DR14" s="154">
        <v>0</v>
      </c>
      <c r="DS14" s="145">
        <v>0</v>
      </c>
      <c r="DT14" s="143">
        <v>0</v>
      </c>
      <c r="DU14" s="154">
        <v>0</v>
      </c>
      <c r="DV14" s="146">
        <v>0</v>
      </c>
      <c r="DW14" s="146">
        <v>0</v>
      </c>
      <c r="DX14" s="147">
        <v>0</v>
      </c>
      <c r="DY14" s="147">
        <v>0</v>
      </c>
      <c r="DZ14" s="157">
        <v>3</v>
      </c>
      <c r="EA14" s="126"/>
      <c r="EB14" s="126"/>
      <c r="EC14" s="123">
        <v>2</v>
      </c>
      <c r="ED14" s="123">
        <v>100</v>
      </c>
      <c r="EE14" s="123"/>
      <c r="EF14" s="123"/>
      <c r="EG14" s="123"/>
      <c r="EH14" s="123"/>
      <c r="EI14" s="123"/>
      <c r="EJ14" s="123"/>
      <c r="EK14" s="123"/>
      <c r="EL14" s="123">
        <v>1.5</v>
      </c>
      <c r="EM14" s="150"/>
      <c r="EN14" s="150"/>
      <c r="EO14" s="150"/>
      <c r="EP14" s="150"/>
      <c r="EQ14" s="216" t="s">
        <v>348</v>
      </c>
      <c r="ER14" s="123">
        <v>81.4090909090909</v>
      </c>
      <c r="ES14" s="123">
        <v>0.77</v>
      </c>
      <c r="ET14" s="123">
        <v>0.58</v>
      </c>
      <c r="EU14" s="123"/>
      <c r="EV14" s="123">
        <v>67.5</v>
      </c>
      <c r="EW14" s="123"/>
      <c r="EX14" s="123"/>
      <c r="EY14" s="123">
        <v>0.64</v>
      </c>
      <c r="EZ14" s="123">
        <v>0.61</v>
      </c>
      <c r="FA14" s="123"/>
      <c r="FB14" s="123">
        <v>62.5</v>
      </c>
      <c r="FC14" s="123">
        <v>0.77</v>
      </c>
      <c r="FD14" s="123">
        <v>0.45</v>
      </c>
      <c r="FE14" s="123">
        <v>0.15</v>
      </c>
      <c r="FF14" s="123">
        <v>0.69</v>
      </c>
      <c r="FG14" s="123">
        <v>0.16</v>
      </c>
      <c r="FH14" s="123">
        <v>0.77</v>
      </c>
      <c r="FI14" s="123">
        <v>0.13</v>
      </c>
      <c r="FJ14" s="123">
        <v>0.55</v>
      </c>
      <c r="FK14" s="123">
        <v>0.27</v>
      </c>
      <c r="FL14" s="123">
        <v>0.5</v>
      </c>
      <c r="FM14" s="123">
        <v>0.23</v>
      </c>
      <c r="FN14" s="123">
        <v>0.45</v>
      </c>
      <c r="FO14" s="123">
        <v>0.16</v>
      </c>
      <c r="FP14" s="123">
        <v>0.45</v>
      </c>
      <c r="FQ14" s="123">
        <v>0.21</v>
      </c>
      <c r="FR14" s="123">
        <v>39.6</v>
      </c>
      <c r="FS14" s="123">
        <v>0.59</v>
      </c>
      <c r="FT14" s="149">
        <v>0.71</v>
      </c>
      <c r="FU14" s="150">
        <v>65</v>
      </c>
      <c r="FV14" s="150"/>
      <c r="FW14" s="123"/>
      <c r="FX14" s="145"/>
      <c r="FY14" s="151"/>
      <c r="FZ14" s="151"/>
      <c r="GA14" s="151">
        <v>3.457831</v>
      </c>
      <c r="GB14" s="123">
        <v>0.289198633478617</v>
      </c>
      <c r="GC14" s="123"/>
      <c r="GD14" s="123">
        <v>28.9198633478617</v>
      </c>
      <c r="GE14" s="123">
        <v>0.987</v>
      </c>
      <c r="GF14" s="123">
        <v>1</v>
      </c>
      <c r="GG14" s="126">
        <v>99.35</v>
      </c>
      <c r="GH14" s="123"/>
      <c r="GI14" s="123"/>
      <c r="GJ14" s="123"/>
      <c r="GK14" s="123"/>
      <c r="GL14" s="123"/>
      <c r="GM14" s="123"/>
      <c r="GN14" s="123"/>
      <c r="GO14" s="123"/>
      <c r="GP14" s="123"/>
      <c r="GQ14" s="123">
        <v>2</v>
      </c>
      <c r="GR14" s="123"/>
      <c r="GS14" s="123"/>
      <c r="GT14" s="123"/>
      <c r="GU14" s="123"/>
      <c r="GV14" s="123">
        <v>1526</v>
      </c>
      <c r="GW14" s="123"/>
      <c r="GX14" s="123"/>
      <c r="GY14" s="123"/>
      <c r="GZ14" s="123"/>
      <c r="HA14" s="123">
        <v>38</v>
      </c>
      <c r="HB14" s="123"/>
      <c r="HC14" s="123"/>
      <c r="HD14" s="123"/>
      <c r="HE14" s="123"/>
      <c r="HF14" s="123">
        <v>15</v>
      </c>
      <c r="HG14" s="123"/>
      <c r="HH14" s="123"/>
      <c r="HI14" s="123"/>
      <c r="HJ14" s="123"/>
      <c r="HK14" s="123">
        <v>36</v>
      </c>
    </row>
    <row r="15" s="123" customFormat="1" ht="15" spans="1:227">
      <c r="A15" s="137" t="s">
        <v>349</v>
      </c>
      <c r="B15" s="138" t="s">
        <v>350</v>
      </c>
      <c r="C15" s="138" t="s">
        <v>351</v>
      </c>
      <c r="D15" s="138" t="s">
        <v>292</v>
      </c>
      <c r="E15" s="139" t="s">
        <v>293</v>
      </c>
      <c r="F15" s="138" t="s">
        <v>352</v>
      </c>
      <c r="G15" s="140"/>
      <c r="H15" s="141">
        <v>35300280</v>
      </c>
      <c r="I15" s="142">
        <v>87.2451990805961</v>
      </c>
      <c r="J15" s="139">
        <v>1237529866666.67</v>
      </c>
      <c r="K15" s="126">
        <v>177.419914174062</v>
      </c>
      <c r="L15" s="123">
        <v>984</v>
      </c>
      <c r="M15" s="123">
        <v>984</v>
      </c>
      <c r="N15" s="123"/>
      <c r="O15" s="123"/>
      <c r="P15" s="123"/>
      <c r="Q15" s="123"/>
      <c r="R15" s="123">
        <v>1291</v>
      </c>
      <c r="S15" s="123"/>
      <c r="T15" s="123"/>
      <c r="U15" s="123"/>
      <c r="V15" s="123"/>
      <c r="W15" s="123">
        <v>0</v>
      </c>
      <c r="X15" s="123"/>
      <c r="Y15" s="123"/>
      <c r="Z15" s="123"/>
      <c r="AA15" s="123"/>
      <c r="AB15" s="123">
        <v>4</v>
      </c>
      <c r="AC15" s="153"/>
      <c r="AD15" s="153"/>
      <c r="AE15" s="153"/>
      <c r="AF15" s="153"/>
      <c r="AG15" s="153"/>
      <c r="AH15" s="153"/>
      <c r="AI15" s="153">
        <v>51</v>
      </c>
      <c r="AJ15" s="126"/>
      <c r="AK15" s="126"/>
      <c r="AL15" s="126"/>
      <c r="AM15" s="126"/>
      <c r="AN15" s="123">
        <v>93713.21</v>
      </c>
      <c r="AO15" s="123"/>
      <c r="AP15" s="123"/>
      <c r="AQ15" s="123"/>
      <c r="AR15" s="123">
        <v>149854.28</v>
      </c>
      <c r="AS15" s="126"/>
      <c r="AT15" s="126"/>
      <c r="AU15" s="126"/>
      <c r="AV15" s="126"/>
      <c r="AW15" s="126">
        <v>95.7</v>
      </c>
      <c r="AX15" s="126"/>
      <c r="AY15" s="126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>
        <v>0</v>
      </c>
      <c r="BN15" s="123">
        <v>1</v>
      </c>
      <c r="BO15" s="123">
        <v>6</v>
      </c>
      <c r="BP15" s="139">
        <v>18</v>
      </c>
      <c r="BQ15" s="139">
        <v>0</v>
      </c>
      <c r="BR15" s="123">
        <f t="shared" si="0"/>
        <v>19</v>
      </c>
      <c r="BS15" s="139"/>
      <c r="BT15" s="139"/>
      <c r="BU15" s="139"/>
      <c r="BV15" s="139"/>
      <c r="BW15" s="139"/>
      <c r="BX15" s="139"/>
      <c r="BY15" s="139"/>
      <c r="BZ15" s="139">
        <v>8.82</v>
      </c>
      <c r="CA15" s="139">
        <v>39.81</v>
      </c>
      <c r="CB15" s="139">
        <v>78.77</v>
      </c>
      <c r="CC15" s="139">
        <v>68.87</v>
      </c>
      <c r="CD15" s="139">
        <v>62.74</v>
      </c>
      <c r="CE15" s="139">
        <v>66.51</v>
      </c>
      <c r="CF15" s="139">
        <v>54.2533333333333</v>
      </c>
      <c r="CG15" s="123">
        <v>0.9</v>
      </c>
      <c r="CH15" s="123">
        <v>90</v>
      </c>
      <c r="CI15" s="123">
        <v>72.1266666666667</v>
      </c>
      <c r="CJ15" s="123">
        <v>0.97131108106342</v>
      </c>
      <c r="CK15" s="123">
        <v>97.131108106342</v>
      </c>
      <c r="CL15" s="123">
        <v>0.96022</v>
      </c>
      <c r="CM15" s="123">
        <v>96.022</v>
      </c>
      <c r="CN15" s="123">
        <v>0.9589</v>
      </c>
      <c r="CO15" s="123">
        <v>95.89</v>
      </c>
      <c r="CP15" s="123">
        <v>100</v>
      </c>
      <c r="CQ15" s="123"/>
      <c r="CR15" s="123">
        <v>97.2607770265855</v>
      </c>
      <c r="CS15" s="123">
        <v>65.191998885918</v>
      </c>
      <c r="CT15" s="154"/>
      <c r="CU15" s="154"/>
      <c r="CV15" s="154"/>
      <c r="CW15" s="154">
        <v>1</v>
      </c>
      <c r="CX15" s="143">
        <v>100</v>
      </c>
      <c r="CY15" s="154">
        <v>1</v>
      </c>
      <c r="CZ15" s="143">
        <v>100</v>
      </c>
      <c r="DA15" s="154">
        <v>1</v>
      </c>
      <c r="DB15" s="143">
        <v>100</v>
      </c>
      <c r="DC15" s="154">
        <v>1</v>
      </c>
      <c r="DD15" s="123">
        <v>100</v>
      </c>
      <c r="DE15" s="155"/>
      <c r="DF15" s="144">
        <v>1</v>
      </c>
      <c r="DG15" s="144">
        <v>100</v>
      </c>
      <c r="DH15" s="144">
        <v>100</v>
      </c>
      <c r="DI15" s="144">
        <v>1</v>
      </c>
      <c r="DJ15" s="143">
        <v>100</v>
      </c>
      <c r="DK15" s="144"/>
      <c r="DL15" s="144">
        <v>1</v>
      </c>
      <c r="DM15" s="123">
        <v>100</v>
      </c>
      <c r="DN15" s="158"/>
      <c r="DO15" s="158">
        <v>0</v>
      </c>
      <c r="DP15" s="143">
        <v>0</v>
      </c>
      <c r="DQ15" s="154"/>
      <c r="DR15" s="154">
        <v>0</v>
      </c>
      <c r="DS15" s="145">
        <v>0</v>
      </c>
      <c r="DT15" s="143">
        <v>0</v>
      </c>
      <c r="DU15" s="154">
        <v>0</v>
      </c>
      <c r="DV15" s="146">
        <v>0</v>
      </c>
      <c r="DW15" s="146">
        <v>0</v>
      </c>
      <c r="DX15" s="147">
        <v>0</v>
      </c>
      <c r="DY15" s="147">
        <v>0</v>
      </c>
      <c r="DZ15" s="157">
        <v>4</v>
      </c>
      <c r="EA15" s="126"/>
      <c r="EB15" s="126"/>
      <c r="EC15" s="123">
        <v>2</v>
      </c>
      <c r="ED15" s="123">
        <v>100</v>
      </c>
      <c r="EE15" s="123"/>
      <c r="EF15" s="123"/>
      <c r="EG15" s="123"/>
      <c r="EH15">
        <v>373</v>
      </c>
      <c r="EI15" s="123"/>
      <c r="EJ15" s="123">
        <v>389</v>
      </c>
      <c r="EK15" s="123"/>
      <c r="EL15" s="123">
        <v>1.5</v>
      </c>
      <c r="EM15" s="150"/>
      <c r="EN15" s="150"/>
      <c r="EO15" s="150"/>
      <c r="EP15" s="150"/>
      <c r="EQ15" s="216" t="s">
        <v>353</v>
      </c>
      <c r="ER15" s="123">
        <v>50.0227272727273</v>
      </c>
      <c r="ES15" s="123"/>
      <c r="ET15" s="123"/>
      <c r="EU15" s="123"/>
      <c r="EV15" s="123"/>
      <c r="EW15" s="123"/>
      <c r="EX15" s="123"/>
      <c r="EY15" s="123"/>
      <c r="EZ15" s="123"/>
      <c r="FA15" s="123"/>
      <c r="FB15" s="123"/>
      <c r="FC15" s="123"/>
      <c r="FD15" s="123"/>
      <c r="FE15" s="123"/>
      <c r="FF15" s="123"/>
      <c r="FG15" s="123"/>
      <c r="FH15" s="123"/>
      <c r="FI15" s="123"/>
      <c r="FJ15" s="123"/>
      <c r="FK15" s="123"/>
      <c r="FL15" s="123"/>
      <c r="FM15" s="123"/>
      <c r="FN15" s="123"/>
      <c r="FO15" s="123"/>
      <c r="FP15" s="123"/>
      <c r="FQ15" s="123"/>
      <c r="FR15" s="123"/>
      <c r="FS15" s="123"/>
      <c r="FT15" s="149"/>
      <c r="FU15" s="150"/>
      <c r="FV15" s="150"/>
      <c r="FW15" s="123"/>
      <c r="FX15" s="145"/>
      <c r="FY15" s="151"/>
      <c r="FZ15" s="151"/>
      <c r="GA15" s="151">
        <v>3.211896</v>
      </c>
      <c r="GB15" s="123">
        <v>0.311342583944188</v>
      </c>
      <c r="GC15" s="123"/>
      <c r="GD15" s="123">
        <v>31.1342583944188</v>
      </c>
      <c r="GE15" s="123">
        <v>1</v>
      </c>
      <c r="GF15" s="123">
        <v>1</v>
      </c>
      <c r="GG15" s="126">
        <v>100</v>
      </c>
      <c r="GH15" s="123"/>
      <c r="GI15" s="123"/>
      <c r="GJ15" s="123"/>
      <c r="GK15" s="123"/>
      <c r="GL15" s="123"/>
      <c r="GM15" s="123"/>
      <c r="GN15" s="123"/>
      <c r="GO15" s="123"/>
      <c r="GP15" s="123"/>
      <c r="GQ15" s="123">
        <v>2</v>
      </c>
      <c r="GR15" s="123"/>
      <c r="GS15" s="123">
        <v>1</v>
      </c>
      <c r="GT15" s="123"/>
      <c r="GU15" s="123"/>
      <c r="GV15" s="123">
        <v>131</v>
      </c>
      <c r="GW15" s="123"/>
      <c r="GX15" s="123"/>
      <c r="GY15" s="123"/>
      <c r="GZ15" s="123"/>
      <c r="HA15" s="123">
        <v>133</v>
      </c>
      <c r="HB15" s="123"/>
      <c r="HC15" s="123"/>
      <c r="HD15" s="123"/>
      <c r="HE15" s="123"/>
      <c r="HF15" s="123">
        <v>90</v>
      </c>
      <c r="HG15" s="123"/>
      <c r="HH15" s="123"/>
      <c r="HI15" s="123"/>
      <c r="HJ15" s="123"/>
      <c r="HK15" s="123">
        <v>70</v>
      </c>
    </row>
    <row r="16" s="123" customFormat="1" ht="15" spans="1:227">
      <c r="A16" s="137" t="s">
        <v>354</v>
      </c>
      <c r="B16" s="138" t="s">
        <v>355</v>
      </c>
      <c r="C16" s="138" t="s">
        <v>355</v>
      </c>
      <c r="D16" s="138" t="s">
        <v>324</v>
      </c>
      <c r="E16" s="139" t="s">
        <v>325</v>
      </c>
      <c r="F16" s="138" t="s">
        <v>356</v>
      </c>
      <c r="G16" s="140"/>
      <c r="H16" s="141">
        <v>45696159</v>
      </c>
      <c r="I16" s="142">
        <v>112.938778082598</v>
      </c>
      <c r="J16" s="139">
        <v>633266692533.689</v>
      </c>
      <c r="K16" s="126">
        <v>90.7890187258665</v>
      </c>
      <c r="L16" s="123">
        <v>137</v>
      </c>
      <c r="M16" s="123">
        <v>137</v>
      </c>
      <c r="N16" s="123"/>
      <c r="O16" s="123"/>
      <c r="P16" s="123"/>
      <c r="Q16" s="123"/>
      <c r="R16" s="123">
        <v>166</v>
      </c>
      <c r="S16" s="123"/>
      <c r="T16" s="123"/>
      <c r="U16" s="123"/>
      <c r="V16" s="123"/>
      <c r="W16" s="123">
        <v>3</v>
      </c>
      <c r="X16" s="150"/>
      <c r="Y16" s="150"/>
      <c r="Z16" s="150"/>
      <c r="AA16" s="150"/>
      <c r="AB16" s="150">
        <v>0</v>
      </c>
      <c r="AC16" s="153"/>
      <c r="AD16" s="153"/>
      <c r="AE16" s="153"/>
      <c r="AF16" s="153"/>
      <c r="AG16" s="153"/>
      <c r="AH16" s="153"/>
      <c r="AI16" s="153">
        <v>42</v>
      </c>
      <c r="AJ16" s="167"/>
      <c r="AK16" s="167"/>
      <c r="AL16" s="167"/>
      <c r="AM16" s="167"/>
      <c r="AN16" s="167">
        <v>5390.15</v>
      </c>
      <c r="AO16" s="167"/>
      <c r="AP16" s="167"/>
      <c r="AQ16" s="167"/>
      <c r="AR16" s="167">
        <v>12582.91</v>
      </c>
      <c r="AS16" s="126"/>
      <c r="AT16" s="126"/>
      <c r="AU16" s="126"/>
      <c r="AV16" s="126"/>
      <c r="AW16" s="126">
        <v>83.4</v>
      </c>
      <c r="AX16" s="126"/>
      <c r="AY16" s="126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>
        <v>5</v>
      </c>
      <c r="BN16" s="123">
        <v>11</v>
      </c>
      <c r="BO16" s="123">
        <v>26</v>
      </c>
      <c r="BP16" s="139">
        <v>58</v>
      </c>
      <c r="BQ16" s="139">
        <v>0</v>
      </c>
      <c r="BR16" s="123">
        <f t="shared" si="0"/>
        <v>74</v>
      </c>
      <c r="BS16" s="139"/>
      <c r="BT16" s="139"/>
      <c r="BU16" s="139"/>
      <c r="BV16" s="139"/>
      <c r="BW16" s="139"/>
      <c r="BX16" s="139"/>
      <c r="BY16" s="139"/>
      <c r="BZ16" s="139">
        <v>63.24</v>
      </c>
      <c r="CA16" s="139">
        <v>41.71</v>
      </c>
      <c r="CB16" s="139">
        <v>36.32</v>
      </c>
      <c r="CC16" s="139">
        <v>35.38</v>
      </c>
      <c r="CD16" s="139">
        <v>37.74</v>
      </c>
      <c r="CE16" s="139">
        <v>41.98</v>
      </c>
      <c r="CF16" s="139">
        <v>42.7283333333333</v>
      </c>
      <c r="CG16" s="123">
        <v>0.865</v>
      </c>
      <c r="CH16" s="123">
        <v>86.5</v>
      </c>
      <c r="CI16" s="123">
        <v>64.6141666666666</v>
      </c>
      <c r="CJ16" s="123">
        <v>0.759498291857965</v>
      </c>
      <c r="CK16" s="123">
        <v>75.9498291857965</v>
      </c>
      <c r="CL16" s="123">
        <v>0.85733</v>
      </c>
      <c r="CM16" s="123">
        <v>85.733</v>
      </c>
      <c r="CN16" s="123">
        <v>0.6301</v>
      </c>
      <c r="CO16" s="123">
        <v>63.01</v>
      </c>
      <c r="CP16" s="123">
        <v>51.51</v>
      </c>
      <c r="CQ16" s="123">
        <v>58.23</v>
      </c>
      <c r="CR16" s="123">
        <v>69.0507072964491</v>
      </c>
      <c r="CS16" s="123">
        <v>74.8363513814617</v>
      </c>
      <c r="CT16" s="154"/>
      <c r="CU16" s="154"/>
      <c r="CV16" s="154"/>
      <c r="CW16" s="154">
        <v>1</v>
      </c>
      <c r="CX16" s="143">
        <v>100</v>
      </c>
      <c r="CY16" s="154">
        <v>1</v>
      </c>
      <c r="CZ16" s="143">
        <v>100</v>
      </c>
      <c r="DA16" s="154">
        <v>1</v>
      </c>
      <c r="DB16" s="143">
        <v>100</v>
      </c>
      <c r="DC16" s="154">
        <v>1</v>
      </c>
      <c r="DD16" s="123">
        <v>100</v>
      </c>
      <c r="DE16" s="155"/>
      <c r="DF16" s="144">
        <v>0</v>
      </c>
      <c r="DG16" s="144">
        <v>0</v>
      </c>
      <c r="DH16" s="144">
        <v>0</v>
      </c>
      <c r="DI16" s="144">
        <v>1</v>
      </c>
      <c r="DJ16" s="143">
        <v>100</v>
      </c>
      <c r="DK16" s="144"/>
      <c r="DL16" s="144">
        <v>0</v>
      </c>
      <c r="DM16" s="123">
        <v>0</v>
      </c>
      <c r="DN16" s="154"/>
      <c r="DO16" s="154">
        <v>0</v>
      </c>
      <c r="DP16" s="143">
        <v>0</v>
      </c>
      <c r="DQ16" s="154"/>
      <c r="DR16" s="154">
        <v>0</v>
      </c>
      <c r="DS16" s="145">
        <v>0</v>
      </c>
      <c r="DT16" s="143">
        <v>0</v>
      </c>
      <c r="DU16" s="154">
        <v>0</v>
      </c>
      <c r="DV16" s="146">
        <v>0</v>
      </c>
      <c r="DW16" s="146">
        <v>0</v>
      </c>
      <c r="DX16" s="147">
        <v>0</v>
      </c>
      <c r="DY16" s="147">
        <v>0</v>
      </c>
      <c r="DZ16" s="157">
        <v>2</v>
      </c>
      <c r="EA16" s="126"/>
      <c r="EB16" s="126"/>
      <c r="EC16" s="123">
        <v>1</v>
      </c>
      <c r="ED16" s="123">
        <v>50</v>
      </c>
      <c r="EE16" s="123"/>
      <c r="EF16" s="123"/>
      <c r="EG16" s="123"/>
      <c r="EH16">
        <v>379</v>
      </c>
      <c r="EI16" s="123"/>
      <c r="EJ16" s="123">
        <v>378</v>
      </c>
      <c r="EK16" s="123"/>
      <c r="EL16" s="123"/>
      <c r="EM16" s="150"/>
      <c r="EN16" s="150"/>
      <c r="EO16" s="150"/>
      <c r="EP16" s="150"/>
      <c r="EQ16" s="216" t="s">
        <v>357</v>
      </c>
      <c r="ER16" s="123">
        <v>75.4318181818182</v>
      </c>
      <c r="ES16" s="123">
        <v>0.66</v>
      </c>
      <c r="ET16" s="123">
        <v>0.49</v>
      </c>
      <c r="EU16" s="123"/>
      <c r="EV16" s="123">
        <v>57.5</v>
      </c>
      <c r="EW16" s="123"/>
      <c r="EX16" s="123"/>
      <c r="EY16" s="123">
        <v>0.57</v>
      </c>
      <c r="EZ16" s="123">
        <v>0.43</v>
      </c>
      <c r="FA16" s="123"/>
      <c r="FB16" s="123">
        <v>50</v>
      </c>
      <c r="FC16" s="123">
        <v>0.68</v>
      </c>
      <c r="FD16" s="123">
        <v>0.39</v>
      </c>
      <c r="FE16" s="123">
        <v>0.25</v>
      </c>
      <c r="FF16" s="123">
        <v>0.59</v>
      </c>
      <c r="FG16" s="123">
        <v>0.21</v>
      </c>
      <c r="FH16" s="123">
        <v>0.61</v>
      </c>
      <c r="FI16" s="123">
        <v>0.24</v>
      </c>
      <c r="FJ16" s="123">
        <v>0.46</v>
      </c>
      <c r="FK16" s="123">
        <v>0.34</v>
      </c>
      <c r="FL16" s="123">
        <v>0.49</v>
      </c>
      <c r="FM16" s="123">
        <v>0.34</v>
      </c>
      <c r="FN16" s="123">
        <v>0.41</v>
      </c>
      <c r="FO16" s="123">
        <v>0.22</v>
      </c>
      <c r="FP16" s="123">
        <v>0.36</v>
      </c>
      <c r="FQ16" s="123">
        <v>0.29</v>
      </c>
      <c r="FR16" s="123">
        <v>39.2</v>
      </c>
      <c r="FS16" s="123">
        <v>0.47</v>
      </c>
      <c r="FT16" s="149">
        <v>0.61</v>
      </c>
      <c r="FU16" s="150">
        <v>54</v>
      </c>
      <c r="FV16" s="150"/>
      <c r="FW16" s="123"/>
      <c r="FX16" s="145"/>
      <c r="FY16" s="151"/>
      <c r="FZ16" s="151"/>
      <c r="GA16" s="151">
        <v>3.27027</v>
      </c>
      <c r="GB16" s="123">
        <v>0.305785149238442</v>
      </c>
      <c r="GC16" s="123"/>
      <c r="GD16" s="123">
        <v>30.5785149238442</v>
      </c>
      <c r="GE16" s="123">
        <v>1</v>
      </c>
      <c r="GF16" s="123">
        <v>1</v>
      </c>
      <c r="GG16" s="126">
        <v>100</v>
      </c>
      <c r="GH16" s="123"/>
      <c r="GI16" s="123"/>
      <c r="GJ16" s="123"/>
      <c r="GK16" s="123"/>
      <c r="GL16" s="123"/>
      <c r="GM16" s="123"/>
      <c r="GN16" s="123"/>
      <c r="GO16" s="123"/>
      <c r="GP16" s="123"/>
      <c r="GQ16" s="123">
        <v>1</v>
      </c>
      <c r="GR16" s="123"/>
      <c r="GS16" s="123">
        <v>2</v>
      </c>
      <c r="GT16" s="123"/>
      <c r="GU16" s="123"/>
      <c r="GV16" s="123">
        <v>449</v>
      </c>
      <c r="GW16" s="123"/>
      <c r="GX16" s="123"/>
      <c r="GY16" s="123"/>
      <c r="GZ16" s="123"/>
      <c r="HA16" s="123">
        <v>13</v>
      </c>
      <c r="HB16" s="123"/>
      <c r="HC16" s="123"/>
      <c r="HD16" s="123"/>
      <c r="HE16" s="123"/>
      <c r="HF16" s="123">
        <v>1</v>
      </c>
      <c r="HG16" s="123"/>
      <c r="HH16" s="123"/>
      <c r="HI16" s="123"/>
      <c r="HJ16" s="123"/>
      <c r="HK16" s="123">
        <v>2</v>
      </c>
    </row>
    <row r="17" s="123" customFormat="1" ht="15" spans="1:219">
      <c r="A17" s="137" t="s">
        <v>358</v>
      </c>
      <c r="B17" s="138" t="s">
        <v>359</v>
      </c>
      <c r="C17" s="138" t="s">
        <v>359</v>
      </c>
      <c r="D17" s="138" t="s">
        <v>292</v>
      </c>
      <c r="E17" s="139" t="s">
        <v>293</v>
      </c>
      <c r="F17" s="138" t="s">
        <v>360</v>
      </c>
      <c r="G17" s="140"/>
      <c r="H17" s="141">
        <v>27204809</v>
      </c>
      <c r="I17" s="142">
        <v>67.2371147524777</v>
      </c>
      <c r="J17" s="139">
        <v>1752193307380.34</v>
      </c>
      <c r="K17" s="126">
        <v>251.205239231224</v>
      </c>
      <c r="L17" s="123">
        <v>6897</v>
      </c>
      <c r="M17" s="123">
        <v>6897</v>
      </c>
      <c r="N17" s="123"/>
      <c r="O17" s="123"/>
      <c r="P17" s="123"/>
      <c r="Q17" s="123"/>
      <c r="R17" s="123">
        <v>11393</v>
      </c>
      <c r="S17" s="123"/>
      <c r="T17" s="123"/>
      <c r="U17" s="123"/>
      <c r="V17" s="123"/>
      <c r="W17" s="123">
        <v>85</v>
      </c>
      <c r="X17" s="123"/>
      <c r="Y17" s="123"/>
      <c r="Z17" s="123"/>
      <c r="AA17" s="123"/>
      <c r="AB17" s="123">
        <v>2</v>
      </c>
      <c r="AC17" s="153"/>
      <c r="AD17" s="153"/>
      <c r="AE17" s="153"/>
      <c r="AF17" s="153"/>
      <c r="AG17" s="153"/>
      <c r="AH17" s="153"/>
      <c r="AI17" s="153">
        <v>273</v>
      </c>
      <c r="AJ17" s="126"/>
      <c r="AK17" s="126"/>
      <c r="AL17" s="126"/>
      <c r="AM17" s="126"/>
      <c r="AN17" s="123">
        <v>55227.31</v>
      </c>
      <c r="AO17" s="123"/>
      <c r="AP17" s="123"/>
      <c r="AQ17" s="123"/>
      <c r="AR17" s="123">
        <v>73106.0952</v>
      </c>
      <c r="AS17" s="126"/>
      <c r="AT17" s="126"/>
      <c r="AU17" s="126"/>
      <c r="AV17" s="126"/>
      <c r="AW17" s="126">
        <v>95.1</v>
      </c>
      <c r="AX17" s="126"/>
      <c r="AY17" s="126"/>
      <c r="AZ17" s="123"/>
      <c r="BA17" s="123"/>
      <c r="BB17" s="123"/>
      <c r="BC17" s="123"/>
      <c r="BD17" s="123"/>
      <c r="BE17" s="123">
        <v>23</v>
      </c>
      <c r="BF17" s="123"/>
      <c r="BG17" s="123"/>
      <c r="BH17" s="123"/>
      <c r="BI17" s="123"/>
      <c r="BJ17" s="123"/>
      <c r="BK17" s="123"/>
      <c r="BL17" s="123"/>
      <c r="BM17" s="123">
        <v>24</v>
      </c>
      <c r="BN17" s="123">
        <v>60</v>
      </c>
      <c r="BO17" s="123">
        <v>54</v>
      </c>
      <c r="BP17" s="139">
        <v>116</v>
      </c>
      <c r="BQ17" s="139">
        <v>2</v>
      </c>
      <c r="BR17" s="123">
        <f t="shared" si="0"/>
        <v>202</v>
      </c>
      <c r="BS17" s="139"/>
      <c r="BT17" s="139"/>
      <c r="BU17" s="139"/>
      <c r="BV17" s="139"/>
      <c r="BW17" s="139"/>
      <c r="BX17" s="139"/>
      <c r="BY17" s="139"/>
      <c r="BZ17" s="139">
        <v>96.08</v>
      </c>
      <c r="CA17" s="139">
        <v>79.62</v>
      </c>
      <c r="CB17" s="139">
        <v>93.87</v>
      </c>
      <c r="CC17" s="139">
        <v>99.53</v>
      </c>
      <c r="CD17" s="139">
        <v>91.98</v>
      </c>
      <c r="CE17" s="139">
        <v>95.75</v>
      </c>
      <c r="CF17" s="139">
        <v>92.805</v>
      </c>
      <c r="CG17" s="123">
        <v>0.958</v>
      </c>
      <c r="CH17" s="123">
        <v>95.8</v>
      </c>
      <c r="CI17" s="123">
        <v>94.3025</v>
      </c>
      <c r="CJ17" s="123">
        <v>0.811254833200883</v>
      </c>
      <c r="CK17" s="123">
        <v>81.1254833200883</v>
      </c>
      <c r="CL17" s="123">
        <v>0.9577</v>
      </c>
      <c r="CM17" s="123">
        <v>95.77</v>
      </c>
      <c r="CN17" s="123">
        <v>0.863</v>
      </c>
      <c r="CO17" s="123">
        <v>86.3</v>
      </c>
      <c r="CP17" s="123">
        <v>96.24</v>
      </c>
      <c r="CQ17" s="123"/>
      <c r="CR17" s="123">
        <v>89.8588708300221</v>
      </c>
      <c r="CS17" s="123">
        <v>77.8770965643833</v>
      </c>
      <c r="CT17" s="154"/>
      <c r="CU17" s="154"/>
      <c r="CV17" s="154"/>
      <c r="CW17" s="154">
        <v>1</v>
      </c>
      <c r="CX17" s="143">
        <v>100</v>
      </c>
      <c r="CY17" s="154">
        <v>1</v>
      </c>
      <c r="CZ17" s="143">
        <v>100</v>
      </c>
      <c r="DA17" s="154">
        <v>1</v>
      </c>
      <c r="DB17" s="143">
        <v>100</v>
      </c>
      <c r="DC17" s="154">
        <v>1</v>
      </c>
      <c r="DD17" s="123">
        <v>100</v>
      </c>
      <c r="DE17" s="155"/>
      <c r="DF17" s="144">
        <v>1</v>
      </c>
      <c r="DG17" s="144">
        <v>100</v>
      </c>
      <c r="DH17" s="144">
        <v>100</v>
      </c>
      <c r="DI17" s="144">
        <v>1</v>
      </c>
      <c r="DJ17" s="143">
        <v>100</v>
      </c>
      <c r="DK17" s="144"/>
      <c r="DL17" s="144">
        <v>0</v>
      </c>
      <c r="DM17" s="123">
        <v>0</v>
      </c>
      <c r="DN17" s="154"/>
      <c r="DO17" s="154">
        <v>1</v>
      </c>
      <c r="DP17" s="143">
        <v>100</v>
      </c>
      <c r="DQ17" s="168"/>
      <c r="DR17" s="168">
        <v>1</v>
      </c>
      <c r="DS17" s="145">
        <v>1</v>
      </c>
      <c r="DT17" s="143">
        <v>100</v>
      </c>
      <c r="DU17" s="154">
        <v>0</v>
      </c>
      <c r="DV17" s="146">
        <v>0</v>
      </c>
      <c r="DW17" s="146">
        <v>0</v>
      </c>
      <c r="DX17" s="147">
        <v>0</v>
      </c>
      <c r="DY17" s="147">
        <v>33.3333333333333</v>
      </c>
      <c r="DZ17" s="157">
        <v>7</v>
      </c>
      <c r="EA17" s="126"/>
      <c r="EB17" s="126"/>
      <c r="EC17" s="123">
        <v>2</v>
      </c>
      <c r="ED17" s="123">
        <v>100</v>
      </c>
      <c r="EE17" s="123"/>
      <c r="EF17" s="123"/>
      <c r="EG17" s="123"/>
      <c r="EH17">
        <v>491</v>
      </c>
      <c r="EI17" s="123"/>
      <c r="EJ17" s="123">
        <v>487</v>
      </c>
      <c r="EK17" s="123"/>
      <c r="EL17" s="123"/>
      <c r="EM17" s="150"/>
      <c r="EN17" s="150"/>
      <c r="EO17" s="150"/>
      <c r="EP17" s="150"/>
      <c r="EQ17" s="216" t="s">
        <v>361</v>
      </c>
      <c r="ER17" s="123">
        <v>79.4090909090909</v>
      </c>
      <c r="ES17" s="123">
        <v>0.67</v>
      </c>
      <c r="ET17" s="123">
        <v>0.42</v>
      </c>
      <c r="EU17" s="123">
        <v>71.14</v>
      </c>
      <c r="EV17" s="123">
        <v>60.0466666666667</v>
      </c>
      <c r="EW17" s="123"/>
      <c r="EX17" s="123"/>
      <c r="EY17" s="123">
        <v>0.47</v>
      </c>
      <c r="EZ17" s="123">
        <v>0.4</v>
      </c>
      <c r="FA17" s="123">
        <v>29.8</v>
      </c>
      <c r="FB17" s="123">
        <v>38.9333333333333</v>
      </c>
      <c r="FC17" s="123">
        <v>0.65</v>
      </c>
      <c r="FD17" s="123">
        <v>0.18</v>
      </c>
      <c r="FE17" s="123">
        <v>0.2</v>
      </c>
      <c r="FF17" s="123">
        <v>0.46</v>
      </c>
      <c r="FG17" s="123">
        <v>0.3</v>
      </c>
      <c r="FH17" s="123">
        <v>0.49</v>
      </c>
      <c r="FI17" s="123">
        <v>0.32</v>
      </c>
      <c r="FJ17" s="123">
        <v>0.31</v>
      </c>
      <c r="FK17" s="123">
        <v>0.47</v>
      </c>
      <c r="FL17" s="123">
        <v>0.31</v>
      </c>
      <c r="FM17" s="123">
        <v>0.41</v>
      </c>
      <c r="FN17" s="123">
        <v>0.18</v>
      </c>
      <c r="FO17" s="123">
        <v>0.24</v>
      </c>
      <c r="FP17" s="123">
        <v>0.26</v>
      </c>
      <c r="FQ17" s="123">
        <v>0.35</v>
      </c>
      <c r="FR17" s="123">
        <v>34.2</v>
      </c>
      <c r="FS17" s="123">
        <v>0.33</v>
      </c>
      <c r="FT17" s="149">
        <v>0.4</v>
      </c>
      <c r="FU17" s="150">
        <v>36.5</v>
      </c>
      <c r="FV17" s="150">
        <v>29</v>
      </c>
      <c r="FW17" s="123">
        <v>50</v>
      </c>
      <c r="FX17" s="145">
        <v>39.5</v>
      </c>
      <c r="FY17" s="151"/>
      <c r="FZ17" s="151"/>
      <c r="GA17" s="151">
        <v>2.526169</v>
      </c>
      <c r="GB17" s="123">
        <v>0.395856334235754</v>
      </c>
      <c r="GC17" s="123"/>
      <c r="GD17" s="123">
        <v>39.5856334235754</v>
      </c>
      <c r="GE17" s="123">
        <v>1</v>
      </c>
      <c r="GF17" s="123">
        <v>1</v>
      </c>
      <c r="GG17" s="126">
        <v>100</v>
      </c>
      <c r="GH17" s="123"/>
      <c r="GI17" s="123"/>
      <c r="GJ17" s="123"/>
      <c r="GK17" s="123">
        <v>76.62</v>
      </c>
      <c r="GL17" s="123">
        <v>76.62</v>
      </c>
      <c r="GM17" s="123"/>
      <c r="GN17" s="123"/>
      <c r="GO17" s="123"/>
      <c r="GP17" s="123"/>
      <c r="GQ17" s="123">
        <v>29</v>
      </c>
      <c r="GR17" s="123"/>
      <c r="GS17" s="123">
        <v>23</v>
      </c>
      <c r="GT17" s="123"/>
      <c r="GU17" s="123"/>
      <c r="GV17" s="123">
        <v>7014</v>
      </c>
      <c r="GW17" s="123"/>
      <c r="GX17" s="123"/>
      <c r="GY17" s="123"/>
      <c r="GZ17" s="123"/>
      <c r="HA17" s="123">
        <v>787</v>
      </c>
      <c r="HB17" s="123"/>
      <c r="HC17" s="123"/>
      <c r="HD17" s="123"/>
      <c r="HE17" s="123"/>
      <c r="HF17" s="123">
        <v>620</v>
      </c>
      <c r="HG17" s="123"/>
      <c r="HH17" s="123"/>
      <c r="HI17" s="123"/>
      <c r="HJ17" s="123"/>
      <c r="HK17" s="123">
        <v>299</v>
      </c>
    </row>
    <row r="18" s="123" customFormat="1" ht="15" spans="1:219">
      <c r="A18" s="137" t="s">
        <v>362</v>
      </c>
      <c r="B18" s="138" t="s">
        <v>363</v>
      </c>
      <c r="C18" s="138" t="s">
        <v>364</v>
      </c>
      <c r="D18" s="138" t="s">
        <v>292</v>
      </c>
      <c r="E18" s="139" t="s">
        <v>293</v>
      </c>
      <c r="F18" s="138" t="s">
        <v>365</v>
      </c>
      <c r="G18" s="140"/>
      <c r="H18" s="141">
        <v>51751065</v>
      </c>
      <c r="I18" s="142">
        <v>127.903573811819</v>
      </c>
      <c r="J18" s="217" t="s">
        <v>366</v>
      </c>
      <c r="K18" s="126">
        <v>245.556547260595</v>
      </c>
      <c r="L18" s="123">
        <v>4810</v>
      </c>
      <c r="M18" s="123">
        <v>4810</v>
      </c>
      <c r="N18" s="123"/>
      <c r="O18" s="123"/>
      <c r="P18" s="123"/>
      <c r="Q18" s="123"/>
      <c r="R18" s="123">
        <v>25</v>
      </c>
      <c r="S18" s="123"/>
      <c r="T18" s="123"/>
      <c r="U18" s="123"/>
      <c r="V18" s="123"/>
      <c r="W18" s="123">
        <v>222</v>
      </c>
      <c r="X18" s="123"/>
      <c r="Y18" s="123"/>
      <c r="Z18" s="123"/>
      <c r="AA18" s="123"/>
      <c r="AB18" s="123">
        <v>47</v>
      </c>
      <c r="AC18" s="153"/>
      <c r="AD18" s="153"/>
      <c r="AE18" s="153"/>
      <c r="AF18" s="153"/>
      <c r="AG18" s="153"/>
      <c r="AH18" s="153"/>
      <c r="AI18" s="153">
        <v>93</v>
      </c>
      <c r="AJ18" s="126"/>
      <c r="AK18" s="126"/>
      <c r="AL18" s="126"/>
      <c r="AM18" s="126"/>
      <c r="AN18" s="123">
        <v>323114.9</v>
      </c>
      <c r="AO18" s="123"/>
      <c r="AP18" s="123"/>
      <c r="AQ18" s="123"/>
      <c r="AR18" s="123">
        <v>442276.74</v>
      </c>
      <c r="AS18" s="126"/>
      <c r="AT18" s="126"/>
      <c r="AU18" s="126"/>
      <c r="AV18" s="126"/>
      <c r="AW18" s="126">
        <v>94.4</v>
      </c>
      <c r="AX18" s="126"/>
      <c r="AY18" s="126"/>
      <c r="AZ18" s="123">
        <v>1.33</v>
      </c>
      <c r="BA18" s="123"/>
      <c r="BB18" s="123"/>
      <c r="BC18" s="123"/>
      <c r="BD18" s="123"/>
      <c r="BE18" s="123">
        <v>52</v>
      </c>
      <c r="BF18" s="123"/>
      <c r="BG18" s="123"/>
      <c r="BH18" s="123"/>
      <c r="BI18" s="123"/>
      <c r="BJ18" s="123"/>
      <c r="BK18" s="123"/>
      <c r="BL18" s="123"/>
      <c r="BM18" s="123">
        <v>14</v>
      </c>
      <c r="BN18" s="150">
        <v>30</v>
      </c>
      <c r="BO18" s="123">
        <v>94</v>
      </c>
      <c r="BP18" s="139">
        <v>133</v>
      </c>
      <c r="BQ18" s="139">
        <v>4</v>
      </c>
      <c r="BR18" s="123">
        <f t="shared" si="0"/>
        <v>181</v>
      </c>
      <c r="BS18" s="139"/>
      <c r="BT18" s="139"/>
      <c r="BU18" s="139"/>
      <c r="BV18" s="139"/>
      <c r="BW18" s="139"/>
      <c r="BX18" s="139"/>
      <c r="BY18" s="139"/>
      <c r="BZ18" s="139">
        <v>73.53</v>
      </c>
      <c r="CA18" s="139">
        <v>68.25</v>
      </c>
      <c r="CB18" s="139">
        <v>90.57</v>
      </c>
      <c r="CC18" s="139">
        <v>84.91</v>
      </c>
      <c r="CD18" s="139">
        <v>85.85</v>
      </c>
      <c r="CE18" s="139">
        <v>79.72</v>
      </c>
      <c r="CF18" s="139">
        <v>80.4716666666667</v>
      </c>
      <c r="CG18" s="123">
        <v>0.937</v>
      </c>
      <c r="CH18" s="123">
        <v>93.7</v>
      </c>
      <c r="CI18" s="123">
        <v>87.0858333333334</v>
      </c>
      <c r="CJ18" s="123">
        <v>0.991408978551083</v>
      </c>
      <c r="CK18" s="123">
        <v>99.1408978551083</v>
      </c>
      <c r="CL18" s="123">
        <v>0.96789</v>
      </c>
      <c r="CM18" s="123">
        <v>96.789</v>
      </c>
      <c r="CN18" s="123">
        <v>0.9726</v>
      </c>
      <c r="CO18" s="123">
        <v>97.26</v>
      </c>
      <c r="CP18" s="123">
        <v>100</v>
      </c>
      <c r="CQ18" s="123"/>
      <c r="CR18" s="123">
        <v>98.2974744637771</v>
      </c>
      <c r="CS18" s="123">
        <v>78.116183825325</v>
      </c>
      <c r="CT18" s="154"/>
      <c r="CU18" s="154"/>
      <c r="CV18" s="154"/>
      <c r="CW18" s="154">
        <v>1</v>
      </c>
      <c r="CX18" s="143">
        <v>100</v>
      </c>
      <c r="CY18" s="154">
        <v>1</v>
      </c>
      <c r="CZ18" s="143">
        <v>100</v>
      </c>
      <c r="DA18" s="154">
        <v>1</v>
      </c>
      <c r="DB18" s="143">
        <v>100</v>
      </c>
      <c r="DC18" s="154">
        <v>1</v>
      </c>
      <c r="DD18" s="123">
        <v>100</v>
      </c>
      <c r="DE18" s="155"/>
      <c r="DF18" s="144">
        <v>1</v>
      </c>
      <c r="DG18" s="144">
        <v>100</v>
      </c>
      <c r="DH18" s="144">
        <v>100</v>
      </c>
      <c r="DI18" s="144">
        <v>1</v>
      </c>
      <c r="DJ18" s="143">
        <v>100</v>
      </c>
      <c r="DK18" s="144"/>
      <c r="DL18" s="144">
        <v>1</v>
      </c>
      <c r="DM18" s="123">
        <v>100</v>
      </c>
      <c r="DN18" s="154"/>
      <c r="DO18" s="154">
        <v>1</v>
      </c>
      <c r="DP18" s="143">
        <v>100</v>
      </c>
      <c r="DQ18" s="154"/>
      <c r="DR18" s="154">
        <v>1</v>
      </c>
      <c r="DS18" s="145">
        <v>1</v>
      </c>
      <c r="DT18" s="143">
        <v>100</v>
      </c>
      <c r="DU18" s="154">
        <v>1</v>
      </c>
      <c r="DV18" s="146">
        <v>100</v>
      </c>
      <c r="DW18" s="146">
        <v>1</v>
      </c>
      <c r="DX18" s="147">
        <v>100</v>
      </c>
      <c r="DY18" s="147">
        <v>100</v>
      </c>
      <c r="DZ18" s="157">
        <v>8</v>
      </c>
      <c r="EA18" s="126"/>
      <c r="EB18" s="126"/>
      <c r="EC18" s="123">
        <v>2</v>
      </c>
      <c r="ED18" s="123">
        <v>100</v>
      </c>
      <c r="EE18" s="123"/>
      <c r="EF18" s="123"/>
      <c r="EG18" s="123"/>
      <c r="EH18">
        <v>526</v>
      </c>
      <c r="EI18" s="123"/>
      <c r="EJ18" s="123">
        <v>527</v>
      </c>
      <c r="EK18" s="123"/>
      <c r="EL18" s="123">
        <v>0.81</v>
      </c>
      <c r="EM18" s="150"/>
      <c r="EN18" s="150"/>
      <c r="EO18" s="150"/>
      <c r="EP18" s="150"/>
      <c r="EQ18" s="216" t="s">
        <v>367</v>
      </c>
      <c r="ER18" s="123">
        <v>70.0454545454545</v>
      </c>
      <c r="ES18" s="123">
        <v>0.7</v>
      </c>
      <c r="ET18" s="123">
        <v>0.63</v>
      </c>
      <c r="EU18" s="123"/>
      <c r="EV18" s="123">
        <v>66.5</v>
      </c>
      <c r="EW18" s="123"/>
      <c r="EX18" s="123"/>
      <c r="EY18" s="123">
        <v>0.67</v>
      </c>
      <c r="EZ18" s="123">
        <v>0.69</v>
      </c>
      <c r="FA18" s="123"/>
      <c r="FB18" s="123">
        <v>68</v>
      </c>
      <c r="FC18" s="123">
        <v>0.8</v>
      </c>
      <c r="FD18" s="123">
        <v>0.24</v>
      </c>
      <c r="FE18" s="123">
        <v>0.31</v>
      </c>
      <c r="FF18" s="123">
        <v>0.51</v>
      </c>
      <c r="FG18" s="123">
        <v>0.32</v>
      </c>
      <c r="FH18" s="123">
        <v>0.6</v>
      </c>
      <c r="FI18" s="123">
        <v>0.29</v>
      </c>
      <c r="FJ18" s="123">
        <v>0.34</v>
      </c>
      <c r="FK18" s="123">
        <v>0.46</v>
      </c>
      <c r="FL18" s="123">
        <v>0.18</v>
      </c>
      <c r="FM18" s="123">
        <v>0.49</v>
      </c>
      <c r="FN18" s="123">
        <v>0.14</v>
      </c>
      <c r="FO18" s="123">
        <v>0.28</v>
      </c>
      <c r="FP18" s="123">
        <v>0.29</v>
      </c>
      <c r="FQ18" s="123">
        <v>0.37</v>
      </c>
      <c r="FR18" s="123">
        <v>37.4666666666667</v>
      </c>
      <c r="FS18" s="123">
        <v>0.39</v>
      </c>
      <c r="FT18" s="149">
        <v>0.52</v>
      </c>
      <c r="FU18" s="150">
        <v>45.5</v>
      </c>
      <c r="FV18" s="150">
        <v>40</v>
      </c>
      <c r="FW18" s="123">
        <v>48</v>
      </c>
      <c r="FX18" s="145">
        <v>44</v>
      </c>
      <c r="FY18" s="151"/>
      <c r="FZ18" s="151"/>
      <c r="GA18" s="151">
        <v>2.5</v>
      </c>
      <c r="GB18" s="123">
        <v>0.4</v>
      </c>
      <c r="GC18" s="123"/>
      <c r="GD18" s="123">
        <v>40</v>
      </c>
      <c r="GE18" s="123">
        <v>0.828</v>
      </c>
      <c r="GF18" s="123">
        <v>0.91</v>
      </c>
      <c r="GG18" s="126">
        <v>86.9</v>
      </c>
      <c r="GH18" s="123">
        <v>12.53</v>
      </c>
      <c r="GI18" s="123"/>
      <c r="GJ18" s="123"/>
      <c r="GK18" s="123">
        <v>93.15</v>
      </c>
      <c r="GL18" s="123">
        <v>93.15</v>
      </c>
      <c r="GM18" s="123">
        <v>98.59</v>
      </c>
      <c r="GN18" s="123">
        <v>98.59</v>
      </c>
      <c r="GO18" s="123"/>
      <c r="GP18" s="123"/>
      <c r="GQ18" s="123">
        <v>26</v>
      </c>
      <c r="GR18" s="123"/>
      <c r="GS18" s="123">
        <v>11</v>
      </c>
      <c r="GT18" s="123"/>
      <c r="GU18" s="123"/>
      <c r="GV18" s="123">
        <v>5412</v>
      </c>
      <c r="GW18" s="123"/>
      <c r="GX18" s="123"/>
      <c r="GY18" s="123"/>
      <c r="GZ18" s="123"/>
      <c r="HA18" s="123">
        <v>456</v>
      </c>
      <c r="HB18" s="123"/>
      <c r="HC18" s="123"/>
      <c r="HD18" s="123"/>
      <c r="HE18" s="123"/>
      <c r="HF18" s="123">
        <v>289</v>
      </c>
      <c r="HG18" s="123"/>
      <c r="HH18" s="123"/>
      <c r="HI18" s="123"/>
      <c r="HJ18" s="123"/>
      <c r="HK18" s="123">
        <v>196</v>
      </c>
    </row>
    <row r="19" s="123" customFormat="1" ht="15" spans="1:219">
      <c r="A19" s="137" t="s">
        <v>368</v>
      </c>
      <c r="B19" s="138" t="s">
        <v>369</v>
      </c>
      <c r="C19" s="138" t="s">
        <v>369</v>
      </c>
      <c r="D19" s="138" t="s">
        <v>324</v>
      </c>
      <c r="E19" s="139" t="s">
        <v>325</v>
      </c>
      <c r="F19" s="138" t="s">
        <v>370</v>
      </c>
      <c r="G19" s="140"/>
      <c r="H19" s="141">
        <v>130861007</v>
      </c>
      <c r="I19" s="142">
        <v>323.425043869405</v>
      </c>
      <c r="J19" s="139">
        <v>1852722885258.11</v>
      </c>
      <c r="K19" s="126">
        <v>265.617779533844</v>
      </c>
      <c r="L19" s="123">
        <v>801</v>
      </c>
      <c r="M19" s="123">
        <v>801</v>
      </c>
      <c r="N19" s="123"/>
      <c r="O19" s="123"/>
      <c r="P19" s="123"/>
      <c r="Q19" s="123"/>
      <c r="R19" s="123">
        <v>1343</v>
      </c>
      <c r="S19" s="123"/>
      <c r="T19" s="123"/>
      <c r="U19" s="123"/>
      <c r="V19" s="123"/>
      <c r="W19" s="123">
        <v>26</v>
      </c>
      <c r="X19" s="123"/>
      <c r="Y19" s="123"/>
      <c r="Z19" s="123"/>
      <c r="AA19" s="123"/>
      <c r="AB19" s="123">
        <v>0</v>
      </c>
      <c r="AC19" s="153"/>
      <c r="AD19" s="153"/>
      <c r="AE19" s="153"/>
      <c r="AF19" s="153"/>
      <c r="AG19" s="153"/>
      <c r="AH19" s="153"/>
      <c r="AI19" s="153">
        <v>62</v>
      </c>
      <c r="AJ19" s="126"/>
      <c r="AK19" s="126"/>
      <c r="AL19" s="126"/>
      <c r="AM19" s="126"/>
      <c r="AN19" s="123"/>
      <c r="AO19" s="123"/>
      <c r="AP19" s="123"/>
      <c r="AQ19" s="123"/>
      <c r="AR19" s="123"/>
      <c r="AS19" s="126"/>
      <c r="AT19" s="126"/>
      <c r="AU19" s="126"/>
      <c r="AV19" s="126"/>
      <c r="AW19" s="126">
        <v>80.7</v>
      </c>
      <c r="AX19" s="126"/>
      <c r="AY19" s="126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>
        <v>2</v>
      </c>
      <c r="BN19" s="123">
        <v>2</v>
      </c>
      <c r="BO19" s="123">
        <v>27</v>
      </c>
      <c r="BP19" s="139">
        <v>63</v>
      </c>
      <c r="BQ19" s="139">
        <v>0</v>
      </c>
      <c r="BR19" s="123">
        <f t="shared" si="0"/>
        <v>67</v>
      </c>
      <c r="BS19" s="139"/>
      <c r="BT19" s="139"/>
      <c r="BU19" s="139"/>
      <c r="BV19" s="139"/>
      <c r="BW19" s="139"/>
      <c r="BX19" s="139"/>
      <c r="BY19" s="139"/>
      <c r="BZ19" s="139">
        <v>42.16</v>
      </c>
      <c r="CA19" s="139">
        <v>22.75</v>
      </c>
      <c r="CB19" s="139">
        <v>43.4</v>
      </c>
      <c r="CC19" s="139">
        <v>46.23</v>
      </c>
      <c r="CD19" s="139">
        <v>24.06</v>
      </c>
      <c r="CE19" s="139">
        <v>17.45</v>
      </c>
      <c r="CF19" s="139">
        <v>32.675</v>
      </c>
      <c r="CG19" s="123">
        <v>0.789</v>
      </c>
      <c r="CH19" s="123">
        <v>78.9</v>
      </c>
      <c r="CI19" s="123">
        <v>55.7875</v>
      </c>
      <c r="CJ19" s="123">
        <v>0.792193025257949</v>
      </c>
      <c r="CK19" s="123">
        <v>79.2193025257949</v>
      </c>
      <c r="CL19" s="123">
        <v>0.78499</v>
      </c>
      <c r="CM19" s="123">
        <v>78.499</v>
      </c>
      <c r="CN19" s="123">
        <v>0.7397</v>
      </c>
      <c r="CO19" s="123">
        <v>73.97</v>
      </c>
      <c r="CP19" s="123">
        <v>85.77</v>
      </c>
      <c r="CQ19" s="123">
        <v>62.51</v>
      </c>
      <c r="CR19" s="123">
        <v>79.3645756314487</v>
      </c>
      <c r="CS19" s="123">
        <v>70.7983057422969</v>
      </c>
      <c r="CT19" s="154"/>
      <c r="CU19" s="154"/>
      <c r="CV19" s="154"/>
      <c r="CW19" s="154">
        <v>1</v>
      </c>
      <c r="CX19" s="143">
        <v>100</v>
      </c>
      <c r="CY19" s="154">
        <v>1</v>
      </c>
      <c r="CZ19" s="143">
        <v>100</v>
      </c>
      <c r="DA19" s="154">
        <v>1</v>
      </c>
      <c r="DB19" s="143">
        <v>100</v>
      </c>
      <c r="DC19" s="154">
        <v>1</v>
      </c>
      <c r="DD19" s="123">
        <v>100</v>
      </c>
      <c r="DE19" s="155"/>
      <c r="DF19" s="144">
        <v>1</v>
      </c>
      <c r="DG19" s="144">
        <v>100</v>
      </c>
      <c r="DH19" s="144">
        <v>100</v>
      </c>
      <c r="DI19" s="144">
        <v>1</v>
      </c>
      <c r="DJ19" s="143">
        <v>100</v>
      </c>
      <c r="DK19" s="144"/>
      <c r="DL19" s="144">
        <v>0</v>
      </c>
      <c r="DM19" s="123">
        <v>0</v>
      </c>
      <c r="DN19" s="154"/>
      <c r="DO19" s="154">
        <v>0</v>
      </c>
      <c r="DP19" s="143">
        <v>0</v>
      </c>
      <c r="DQ19" s="154"/>
      <c r="DR19" s="154">
        <v>1</v>
      </c>
      <c r="DS19" s="145">
        <v>1</v>
      </c>
      <c r="DT19" s="143">
        <v>100</v>
      </c>
      <c r="DU19" s="154">
        <v>0</v>
      </c>
      <c r="DV19" s="146">
        <v>0</v>
      </c>
      <c r="DW19" s="146">
        <v>0</v>
      </c>
      <c r="DX19" s="147">
        <v>0</v>
      </c>
      <c r="DY19" s="147">
        <v>33.3333333333333</v>
      </c>
      <c r="DZ19" s="157">
        <v>4</v>
      </c>
      <c r="EA19" s="126"/>
      <c r="EB19" s="126"/>
      <c r="EC19" s="123">
        <v>1</v>
      </c>
      <c r="ED19" s="123">
        <v>50</v>
      </c>
      <c r="EE19" s="123"/>
      <c r="EF19" s="123"/>
      <c r="EG19" s="123"/>
      <c r="EH19">
        <v>409</v>
      </c>
      <c r="EI19" s="123"/>
      <c r="EJ19" s="123">
        <v>395</v>
      </c>
      <c r="EK19" s="123"/>
      <c r="EL19" s="123">
        <v>7.3</v>
      </c>
      <c r="EM19" s="150"/>
      <c r="EN19" s="150"/>
      <c r="EO19" s="150"/>
      <c r="EP19" s="150"/>
      <c r="EQ19" s="216" t="s">
        <v>371</v>
      </c>
      <c r="ER19" s="123">
        <v>79.2045454545455</v>
      </c>
      <c r="ES19" s="123">
        <v>0.75</v>
      </c>
      <c r="ET19" s="123">
        <v>0.63</v>
      </c>
      <c r="EU19" s="123">
        <v>74.8</v>
      </c>
      <c r="EV19" s="123">
        <v>70.9333333333333</v>
      </c>
      <c r="EW19" s="123"/>
      <c r="EX19" s="123"/>
      <c r="EY19" s="123">
        <v>0.7</v>
      </c>
      <c r="EZ19" s="123">
        <v>0.65</v>
      </c>
      <c r="FA19" s="123">
        <v>40.1</v>
      </c>
      <c r="FB19" s="123">
        <v>58.3666666666667</v>
      </c>
      <c r="FC19" s="123">
        <v>0.74</v>
      </c>
      <c r="FD19" s="123">
        <v>0.39</v>
      </c>
      <c r="FE19" s="123">
        <v>0.28</v>
      </c>
      <c r="FF19" s="123">
        <v>0.65</v>
      </c>
      <c r="FG19" s="123">
        <v>0.22</v>
      </c>
      <c r="FH19" s="123">
        <v>0.62</v>
      </c>
      <c r="FI19" s="123">
        <v>0.27</v>
      </c>
      <c r="FJ19" s="123">
        <v>0.52</v>
      </c>
      <c r="FK19" s="123">
        <v>0.32</v>
      </c>
      <c r="FL19" s="123">
        <v>0.47</v>
      </c>
      <c r="FM19" s="123">
        <v>0.36</v>
      </c>
      <c r="FN19" s="123">
        <v>0.45</v>
      </c>
      <c r="FO19" s="123">
        <v>0.26</v>
      </c>
      <c r="FP19" s="123">
        <v>0.43</v>
      </c>
      <c r="FQ19" s="123">
        <v>0.33</v>
      </c>
      <c r="FR19" s="123">
        <v>42.0666666666667</v>
      </c>
      <c r="FS19" s="123">
        <v>0.59</v>
      </c>
      <c r="FT19" s="149">
        <v>0.73</v>
      </c>
      <c r="FU19" s="150">
        <v>66</v>
      </c>
      <c r="FV19" s="150"/>
      <c r="FW19" s="123"/>
      <c r="FX19" s="145"/>
      <c r="FY19" s="151"/>
      <c r="FZ19" s="151"/>
      <c r="GA19" s="151">
        <v>3.588235</v>
      </c>
      <c r="GB19" s="123">
        <v>0.278688547433487</v>
      </c>
      <c r="GC19" s="123"/>
      <c r="GD19" s="123">
        <v>27.8688547433487</v>
      </c>
      <c r="GE19" s="123">
        <v>1</v>
      </c>
      <c r="GF19" s="123">
        <v>1</v>
      </c>
      <c r="GG19" s="126">
        <v>100</v>
      </c>
      <c r="GH19" s="123">
        <v>11.79</v>
      </c>
      <c r="GI19" s="123"/>
      <c r="GJ19" s="123"/>
      <c r="GK19" s="123">
        <v>61.12</v>
      </c>
      <c r="GL19" s="123">
        <v>61.12</v>
      </c>
      <c r="GM19" s="123"/>
      <c r="GN19" s="123"/>
      <c r="GO19" s="123"/>
      <c r="GP19" s="123"/>
      <c r="GQ19" s="123">
        <v>1</v>
      </c>
      <c r="GR19" s="123"/>
      <c r="GS19" s="123">
        <v>1</v>
      </c>
      <c r="GT19" s="123"/>
      <c r="GU19" s="123"/>
      <c r="GV19" s="123">
        <v>172</v>
      </c>
      <c r="GW19" s="123"/>
      <c r="GX19" s="123"/>
      <c r="GY19" s="123"/>
      <c r="GZ19" s="123"/>
      <c r="HA19" s="123">
        <v>76</v>
      </c>
      <c r="HB19" s="123"/>
      <c r="HC19" s="123"/>
      <c r="HD19" s="123"/>
      <c r="HE19" s="123"/>
      <c r="HF19" s="123">
        <v>14</v>
      </c>
      <c r="HG19" s="123"/>
      <c r="HH19" s="123"/>
      <c r="HI19" s="123"/>
      <c r="HJ19" s="123"/>
      <c r="HK19" s="123">
        <v>56</v>
      </c>
    </row>
    <row r="20" s="123" customFormat="1" ht="15" spans="1:219">
      <c r="A20" s="137" t="s">
        <v>372</v>
      </c>
      <c r="B20" s="138" t="s">
        <v>373</v>
      </c>
      <c r="C20" s="138" t="s">
        <v>373</v>
      </c>
      <c r="D20" s="138" t="s">
        <v>324</v>
      </c>
      <c r="E20" s="139" t="s">
        <v>325</v>
      </c>
      <c r="F20" s="138" t="s">
        <v>374</v>
      </c>
      <c r="G20" s="140"/>
      <c r="H20" s="141">
        <v>85518661</v>
      </c>
      <c r="I20" s="142">
        <v>211.360720199698</v>
      </c>
      <c r="J20" s="139">
        <v>1323254808058.74</v>
      </c>
      <c r="K20" s="126">
        <v>189.709970482218</v>
      </c>
      <c r="L20" s="123">
        <v>532</v>
      </c>
      <c r="M20" s="123">
        <v>532</v>
      </c>
      <c r="N20" s="123"/>
      <c r="O20" s="123"/>
      <c r="P20" s="123"/>
      <c r="Q20" s="123"/>
      <c r="R20" s="123">
        <v>12</v>
      </c>
      <c r="S20" s="123"/>
      <c r="T20" s="123"/>
      <c r="U20" s="123"/>
      <c r="V20" s="123"/>
      <c r="W20" s="123">
        <v>0</v>
      </c>
      <c r="X20" s="123"/>
      <c r="Y20" s="123"/>
      <c r="Z20" s="123"/>
      <c r="AA20" s="123"/>
      <c r="AB20" s="123">
        <v>0</v>
      </c>
      <c r="AC20" s="153"/>
      <c r="AD20" s="153"/>
      <c r="AE20" s="153"/>
      <c r="AF20" s="153"/>
      <c r="AG20" s="153"/>
      <c r="AH20" s="153"/>
      <c r="AI20" s="153">
        <v>82</v>
      </c>
      <c r="AJ20" s="126"/>
      <c r="AK20" s="126"/>
      <c r="AL20" s="126"/>
      <c r="AM20" s="126"/>
      <c r="AN20" s="123">
        <v>7366.29</v>
      </c>
      <c r="AO20" s="123"/>
      <c r="AP20" s="123"/>
      <c r="AQ20" s="123"/>
      <c r="AR20" s="123">
        <v>10100.61</v>
      </c>
      <c r="AS20" s="126"/>
      <c r="AT20" s="126"/>
      <c r="AU20" s="126"/>
      <c r="AV20" s="126"/>
      <c r="AW20" s="126">
        <v>87.5</v>
      </c>
      <c r="AX20" s="126"/>
      <c r="AY20" s="126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123"/>
      <c r="BM20" s="123">
        <v>3</v>
      </c>
      <c r="BN20" s="123">
        <v>7</v>
      </c>
      <c r="BO20" s="123">
        <v>73</v>
      </c>
      <c r="BP20" s="139">
        <v>152</v>
      </c>
      <c r="BQ20" s="139">
        <v>0</v>
      </c>
      <c r="BR20" s="123">
        <f t="shared" si="0"/>
        <v>162</v>
      </c>
      <c r="BS20" s="139"/>
      <c r="BT20" s="139"/>
      <c r="BU20" s="139"/>
      <c r="BV20" s="139"/>
      <c r="BW20" s="139"/>
      <c r="BX20" s="139"/>
      <c r="BY20" s="139"/>
      <c r="BZ20" s="139">
        <v>25</v>
      </c>
      <c r="CA20" s="139">
        <v>13.74</v>
      </c>
      <c r="CB20" s="139">
        <v>41.51</v>
      </c>
      <c r="CC20" s="139">
        <v>43.87</v>
      </c>
      <c r="CD20" s="139">
        <v>32.55</v>
      </c>
      <c r="CE20" s="139">
        <v>34.91</v>
      </c>
      <c r="CF20" s="139">
        <v>31.93</v>
      </c>
      <c r="CG20" s="123">
        <v>0.853</v>
      </c>
      <c r="CH20" s="123">
        <v>85.3</v>
      </c>
      <c r="CI20" s="123">
        <v>58.615</v>
      </c>
      <c r="CJ20" s="123">
        <v>0.8726745489984</v>
      </c>
      <c r="CK20" s="123">
        <v>87.26745489984</v>
      </c>
      <c r="CL20" s="123">
        <v>0.89131</v>
      </c>
      <c r="CM20" s="123">
        <v>89.131</v>
      </c>
      <c r="CN20" s="123">
        <v>0.863</v>
      </c>
      <c r="CO20" s="123">
        <v>86.3</v>
      </c>
      <c r="CP20" s="123">
        <v>100</v>
      </c>
      <c r="CQ20" s="123"/>
      <c r="CR20" s="123">
        <v>90.67461372496</v>
      </c>
      <c r="CS20" s="123">
        <v>70.613486202523</v>
      </c>
      <c r="CT20" s="154"/>
      <c r="CU20" s="154"/>
      <c r="CV20" s="154"/>
      <c r="CW20" s="154">
        <v>1</v>
      </c>
      <c r="CX20" s="143">
        <v>100</v>
      </c>
      <c r="CY20" s="154">
        <v>1</v>
      </c>
      <c r="CZ20" s="143">
        <v>100</v>
      </c>
      <c r="DA20" s="154">
        <v>1</v>
      </c>
      <c r="DB20" s="143">
        <v>100</v>
      </c>
      <c r="DC20" s="154">
        <v>1</v>
      </c>
      <c r="DD20" s="123">
        <v>100</v>
      </c>
      <c r="DE20" s="155"/>
      <c r="DF20" s="144">
        <v>1</v>
      </c>
      <c r="DG20" s="144">
        <v>100</v>
      </c>
      <c r="DH20" s="144">
        <v>100</v>
      </c>
      <c r="DI20" s="144">
        <v>1</v>
      </c>
      <c r="DJ20" s="143">
        <v>100</v>
      </c>
      <c r="DK20" s="144"/>
      <c r="DL20" s="144">
        <v>0</v>
      </c>
      <c r="DM20" s="123">
        <v>0</v>
      </c>
      <c r="DN20" s="154"/>
      <c r="DO20" s="154">
        <v>0</v>
      </c>
      <c r="DP20" s="143">
        <v>0</v>
      </c>
      <c r="DQ20" s="154"/>
      <c r="DR20" s="154">
        <v>1</v>
      </c>
      <c r="DS20" s="145">
        <v>1</v>
      </c>
      <c r="DT20" s="143">
        <v>100</v>
      </c>
      <c r="DU20" s="154">
        <v>0</v>
      </c>
      <c r="DV20" s="146">
        <v>0</v>
      </c>
      <c r="DW20" s="146">
        <v>0</v>
      </c>
      <c r="DX20" s="147">
        <v>0</v>
      </c>
      <c r="DY20" s="147">
        <v>33.3333333333333</v>
      </c>
      <c r="DZ20" s="157">
        <v>5</v>
      </c>
      <c r="EA20" s="126"/>
      <c r="EB20" s="126"/>
      <c r="EC20" s="123">
        <v>2</v>
      </c>
      <c r="ED20" s="123">
        <v>100</v>
      </c>
      <c r="EE20" s="123"/>
      <c r="EF20" s="123"/>
      <c r="EG20" s="123"/>
      <c r="EH20">
        <v>454</v>
      </c>
      <c r="EI20" s="123"/>
      <c r="EJ20" s="123">
        <v>453</v>
      </c>
      <c r="EK20" s="123"/>
      <c r="EL20" s="123">
        <v>1.6</v>
      </c>
      <c r="EM20" s="150"/>
      <c r="EN20" s="150"/>
      <c r="EO20" s="150"/>
      <c r="EP20" s="150"/>
      <c r="EQ20" s="216" t="s">
        <v>375</v>
      </c>
      <c r="ER20" s="123">
        <v>77.8863636363636</v>
      </c>
      <c r="ES20" s="123">
        <v>0.73</v>
      </c>
      <c r="ET20" s="123">
        <v>0.67</v>
      </c>
      <c r="EU20" s="123"/>
      <c r="EV20" s="123">
        <v>70</v>
      </c>
      <c r="EW20" s="123"/>
      <c r="EX20" s="123"/>
      <c r="EY20" s="123">
        <v>0.66</v>
      </c>
      <c r="EZ20" s="123">
        <v>0.67</v>
      </c>
      <c r="FA20" s="123"/>
      <c r="FB20" s="123">
        <v>66.5</v>
      </c>
      <c r="FC20" s="123">
        <v>0.75</v>
      </c>
      <c r="FD20" s="123">
        <v>0.37</v>
      </c>
      <c r="FE20" s="123">
        <v>0.23</v>
      </c>
      <c r="FF20" s="123">
        <v>0.57</v>
      </c>
      <c r="FG20" s="123">
        <v>0.22</v>
      </c>
      <c r="FH20" s="123">
        <v>0.56</v>
      </c>
      <c r="FI20" s="123">
        <v>0.25</v>
      </c>
      <c r="FJ20" s="123">
        <v>0.43</v>
      </c>
      <c r="FK20" s="123">
        <v>0.34</v>
      </c>
      <c r="FL20" s="123">
        <v>0.42</v>
      </c>
      <c r="FM20" s="123">
        <v>0.37</v>
      </c>
      <c r="FN20" s="123">
        <v>0.45</v>
      </c>
      <c r="FO20" s="123">
        <v>0.22</v>
      </c>
      <c r="FP20" s="123">
        <v>0.31</v>
      </c>
      <c r="FQ20" s="123">
        <v>0.29</v>
      </c>
      <c r="FR20" s="123">
        <v>38.5333333333333</v>
      </c>
      <c r="FS20" s="123">
        <v>0.46</v>
      </c>
      <c r="FT20" s="149">
        <v>0.58</v>
      </c>
      <c r="FU20" s="150">
        <v>52</v>
      </c>
      <c r="FV20" s="150"/>
      <c r="FW20" s="123"/>
      <c r="FX20" s="145"/>
      <c r="FY20" s="151"/>
      <c r="FZ20" s="151"/>
      <c r="GA20" s="151">
        <v>0.1</v>
      </c>
      <c r="GB20" s="123">
        <v>10</v>
      </c>
      <c r="GC20" s="123"/>
      <c r="GD20" s="123">
        <v>1000</v>
      </c>
      <c r="GE20" s="123">
        <v>0.978</v>
      </c>
      <c r="GF20" s="123">
        <v>1</v>
      </c>
      <c r="GG20" s="126">
        <v>98.9</v>
      </c>
      <c r="GH20" s="123">
        <v>3.37</v>
      </c>
      <c r="GI20" s="123"/>
      <c r="GJ20" s="123"/>
      <c r="GK20" s="123">
        <v>62.45</v>
      </c>
      <c r="GL20" s="123">
        <v>62.45</v>
      </c>
      <c r="GM20" s="123">
        <v>96.21</v>
      </c>
      <c r="GN20" s="123">
        <v>96.21</v>
      </c>
      <c r="GO20" s="123"/>
      <c r="GP20" s="123"/>
      <c r="GQ20" s="123">
        <v>2</v>
      </c>
      <c r="GR20" s="126"/>
      <c r="GS20" s="126"/>
      <c r="GT20" s="126"/>
      <c r="GU20" s="126"/>
      <c r="GV20" s="123">
        <v>846</v>
      </c>
      <c r="GW20" s="123"/>
      <c r="GX20" s="123"/>
      <c r="GY20" s="123"/>
      <c r="GZ20" s="123"/>
      <c r="HA20" s="123">
        <v>41</v>
      </c>
      <c r="HB20" s="123"/>
      <c r="HC20" s="123"/>
      <c r="HD20" s="123"/>
      <c r="HE20" s="123"/>
      <c r="HF20" s="123">
        <v>43</v>
      </c>
      <c r="HG20" s="123"/>
      <c r="HH20" s="123"/>
      <c r="HI20" s="123"/>
      <c r="HJ20" s="123"/>
      <c r="HK20" s="123">
        <v>24</v>
      </c>
    </row>
    <row r="21" s="123" customFormat="1" ht="15" spans="1:219">
      <c r="A21" s="137" t="s">
        <v>376</v>
      </c>
      <c r="B21" s="138" t="s">
        <v>377</v>
      </c>
      <c r="C21" s="138" t="s">
        <v>377</v>
      </c>
      <c r="D21" s="138" t="s">
        <v>324</v>
      </c>
      <c r="E21" s="139" t="s">
        <v>325</v>
      </c>
      <c r="F21" s="138" t="s">
        <v>378</v>
      </c>
      <c r="G21" s="140"/>
      <c r="H21" s="141">
        <v>283487931</v>
      </c>
      <c r="I21" s="142">
        <v>700.644895084155</v>
      </c>
      <c r="J21" s="139">
        <v>1396300098190.97</v>
      </c>
      <c r="K21" s="126">
        <v>200.182193783775</v>
      </c>
      <c r="L21" s="123">
        <v>306</v>
      </c>
      <c r="M21" s="123">
        <v>306</v>
      </c>
      <c r="N21" s="123"/>
      <c r="O21" s="123"/>
      <c r="P21" s="123"/>
      <c r="Q21" s="123"/>
      <c r="R21" s="123">
        <v>421</v>
      </c>
      <c r="S21" s="123"/>
      <c r="T21" s="123"/>
      <c r="U21" s="123"/>
      <c r="V21" s="123"/>
      <c r="W21" s="123">
        <v>56</v>
      </c>
      <c r="X21" s="123"/>
      <c r="Y21" s="123"/>
      <c r="Z21" s="123"/>
      <c r="AA21" s="123"/>
      <c r="AB21" s="123">
        <v>0</v>
      </c>
      <c r="AC21" s="153"/>
      <c r="AD21" s="153"/>
      <c r="AE21" s="153"/>
      <c r="AF21" s="153"/>
      <c r="AG21" s="153"/>
      <c r="AH21" s="153"/>
      <c r="AI21" s="153">
        <v>181</v>
      </c>
      <c r="AJ21" s="126"/>
      <c r="AK21" s="126"/>
      <c r="AL21" s="126"/>
      <c r="AM21" s="126"/>
      <c r="AN21" s="123"/>
      <c r="AO21" s="123"/>
      <c r="AP21" s="123"/>
      <c r="AQ21" s="123"/>
      <c r="AR21" s="123"/>
      <c r="AS21" s="126"/>
      <c r="AT21" s="126"/>
      <c r="AU21" s="126"/>
      <c r="AV21" s="126"/>
      <c r="AW21" s="126">
        <v>82.8</v>
      </c>
      <c r="AX21" s="126"/>
      <c r="AY21" s="126"/>
      <c r="AZ21" s="123">
        <v>1.16</v>
      </c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>
        <v>2</v>
      </c>
      <c r="BN21" s="123">
        <v>6</v>
      </c>
      <c r="BO21" s="123">
        <v>46</v>
      </c>
      <c r="BP21" s="139">
        <v>109</v>
      </c>
      <c r="BQ21" s="139">
        <v>0</v>
      </c>
      <c r="BR21" s="123">
        <f t="shared" si="0"/>
        <v>117</v>
      </c>
      <c r="BS21" s="139"/>
      <c r="BT21" s="139"/>
      <c r="BU21" s="139"/>
      <c r="BV21" s="139"/>
      <c r="BW21" s="139"/>
      <c r="BX21" s="139"/>
      <c r="BY21" s="139"/>
      <c r="BZ21" s="139">
        <v>52.45</v>
      </c>
      <c r="CA21" s="139">
        <v>28.91</v>
      </c>
      <c r="CB21" s="139">
        <v>69.81</v>
      </c>
      <c r="CC21" s="139">
        <v>60.85</v>
      </c>
      <c r="CD21" s="139">
        <v>46.7</v>
      </c>
      <c r="CE21" s="139">
        <v>36.32</v>
      </c>
      <c r="CF21" s="139">
        <v>49.1733333333333</v>
      </c>
      <c r="CG21" s="123">
        <v>0.728</v>
      </c>
      <c r="CH21" s="123">
        <v>72.8</v>
      </c>
      <c r="CI21" s="123">
        <v>60.9866666666667</v>
      </c>
      <c r="CJ21" s="123">
        <v>0.816660750584133</v>
      </c>
      <c r="CK21" s="123">
        <v>81.6660750584133</v>
      </c>
      <c r="CL21" s="123">
        <v>0.79911</v>
      </c>
      <c r="CM21" s="123">
        <v>79.911</v>
      </c>
      <c r="CN21" s="123">
        <v>0.7945</v>
      </c>
      <c r="CO21" s="123">
        <v>79.45</v>
      </c>
      <c r="CP21" s="123">
        <v>100</v>
      </c>
      <c r="CQ21" s="123"/>
      <c r="CR21" s="123">
        <v>85.2567687646033</v>
      </c>
      <c r="CS21" s="123">
        <v>70.2188737161531</v>
      </c>
      <c r="CT21" s="154"/>
      <c r="CU21" s="154"/>
      <c r="CV21" s="154"/>
      <c r="CW21" s="154">
        <v>1</v>
      </c>
      <c r="CX21" s="143">
        <v>100</v>
      </c>
      <c r="CY21" s="154">
        <v>1</v>
      </c>
      <c r="CZ21" s="143">
        <v>100</v>
      </c>
      <c r="DA21" s="154">
        <v>1</v>
      </c>
      <c r="DB21" s="143">
        <v>100</v>
      </c>
      <c r="DC21" s="154">
        <v>1</v>
      </c>
      <c r="DD21" s="123">
        <v>100</v>
      </c>
      <c r="DE21" s="155"/>
      <c r="DF21" s="144">
        <v>1</v>
      </c>
      <c r="DG21" s="144">
        <v>100</v>
      </c>
      <c r="DH21" s="144">
        <v>100</v>
      </c>
      <c r="DI21" s="144">
        <v>1</v>
      </c>
      <c r="DJ21" s="143">
        <v>100</v>
      </c>
      <c r="DK21" s="144"/>
      <c r="DL21" s="144">
        <v>0</v>
      </c>
      <c r="DM21" s="123">
        <v>0</v>
      </c>
      <c r="DN21" s="154"/>
      <c r="DO21" s="154">
        <v>0</v>
      </c>
      <c r="DP21" s="143">
        <v>0</v>
      </c>
      <c r="DQ21" s="154"/>
      <c r="DR21" s="154">
        <v>0</v>
      </c>
      <c r="DS21" s="145">
        <v>0</v>
      </c>
      <c r="DT21" s="143">
        <v>0</v>
      </c>
      <c r="DU21" s="154">
        <v>0</v>
      </c>
      <c r="DV21" s="146">
        <v>0</v>
      </c>
      <c r="DW21" s="146">
        <v>0</v>
      </c>
      <c r="DX21" s="147">
        <v>0</v>
      </c>
      <c r="DY21" s="147">
        <v>0</v>
      </c>
      <c r="DZ21" s="157">
        <v>5</v>
      </c>
      <c r="EA21" s="126"/>
      <c r="EB21" s="126"/>
      <c r="EC21" s="123">
        <v>1</v>
      </c>
      <c r="ED21" s="123">
        <v>50</v>
      </c>
      <c r="EE21" s="123"/>
      <c r="EF21" s="123"/>
      <c r="EG21" s="123"/>
      <c r="EH21">
        <v>379</v>
      </c>
      <c r="EI21" s="123"/>
      <c r="EJ21" s="123">
        <v>366</v>
      </c>
      <c r="EK21" s="123"/>
      <c r="EL21" s="123">
        <v>2</v>
      </c>
      <c r="EM21" s="150"/>
      <c r="EN21" s="150"/>
      <c r="EO21" s="150"/>
      <c r="EP21" s="150"/>
      <c r="EQ21" s="216" t="s">
        <v>379</v>
      </c>
      <c r="ER21" s="123">
        <v>56.9545454545455</v>
      </c>
      <c r="ES21" s="123">
        <v>0.91</v>
      </c>
      <c r="ET21" s="123">
        <v>0.84</v>
      </c>
      <c r="EU21" s="123"/>
      <c r="EV21" s="123">
        <v>87.5</v>
      </c>
      <c r="EW21" s="123"/>
      <c r="EX21" s="123"/>
      <c r="EY21" s="123">
        <v>0.85</v>
      </c>
      <c r="EZ21" s="123">
        <v>0.8</v>
      </c>
      <c r="FA21" s="123"/>
      <c r="FB21" s="123">
        <v>82.5</v>
      </c>
      <c r="FC21" s="123">
        <v>0.84</v>
      </c>
      <c r="FD21" s="123">
        <v>0.5</v>
      </c>
      <c r="FE21" s="123">
        <v>0.26</v>
      </c>
      <c r="FF21" s="123">
        <v>0.68</v>
      </c>
      <c r="FG21" s="123">
        <v>0.23</v>
      </c>
      <c r="FH21" s="123">
        <v>0.8</v>
      </c>
      <c r="FI21" s="123">
        <v>0.16</v>
      </c>
      <c r="FJ21" s="123">
        <v>0.6</v>
      </c>
      <c r="FK21" s="123">
        <v>0.33</v>
      </c>
      <c r="FL21" s="123">
        <v>0.62</v>
      </c>
      <c r="FM21" s="123">
        <v>0.26</v>
      </c>
      <c r="FN21" s="123">
        <v>0.47</v>
      </c>
      <c r="FO21" s="123">
        <v>0.26</v>
      </c>
      <c r="FP21" s="123">
        <v>0.49</v>
      </c>
      <c r="FQ21" s="123">
        <v>0.34</v>
      </c>
      <c r="FR21" s="123">
        <v>45.6</v>
      </c>
      <c r="FS21" s="123">
        <v>0.72</v>
      </c>
      <c r="FT21" s="149">
        <v>0.78</v>
      </c>
      <c r="FU21" s="150">
        <v>75</v>
      </c>
      <c r="FV21" s="150"/>
      <c r="FW21" s="123"/>
      <c r="FX21" s="145"/>
      <c r="FY21" s="151"/>
      <c r="FZ21" s="151"/>
      <c r="GA21" s="151">
        <v>1.491935</v>
      </c>
      <c r="GB21" s="123">
        <v>0.670270487655293</v>
      </c>
      <c r="GC21" s="123"/>
      <c r="GD21" s="123">
        <v>67.0270487655293</v>
      </c>
      <c r="GE21" s="123">
        <v>0.937</v>
      </c>
      <c r="GF21" s="123">
        <v>0.985</v>
      </c>
      <c r="GG21" s="126">
        <v>96.1</v>
      </c>
      <c r="GH21" s="123"/>
      <c r="GI21" s="123"/>
      <c r="GJ21" s="123"/>
      <c r="GK21" s="123"/>
      <c r="GL21" s="123"/>
      <c r="GM21" s="123"/>
      <c r="GN21" s="123"/>
      <c r="GO21" s="123"/>
      <c r="GP21" s="123"/>
      <c r="GQ21" s="123">
        <v>4</v>
      </c>
      <c r="GR21" s="123"/>
      <c r="GS21" s="123">
        <v>7</v>
      </c>
      <c r="GT21" s="123"/>
      <c r="GU21" s="123"/>
      <c r="GV21" s="123">
        <v>1117</v>
      </c>
      <c r="GW21" s="123"/>
      <c r="GX21" s="123"/>
      <c r="GY21" s="123"/>
      <c r="GZ21" s="123"/>
      <c r="HA21" s="123">
        <v>123</v>
      </c>
      <c r="HB21" s="123"/>
      <c r="HC21" s="123"/>
      <c r="HD21" s="123"/>
      <c r="HE21" s="123"/>
      <c r="HF21" s="123">
        <v>9</v>
      </c>
      <c r="HG21" s="123"/>
      <c r="HH21" s="123"/>
      <c r="HI21" s="123"/>
      <c r="HJ21" s="123"/>
      <c r="HK21" s="123">
        <v>32</v>
      </c>
    </row>
    <row r="22" s="123" customFormat="1" ht="15" spans="1:219">
      <c r="A22" s="137" t="s">
        <v>380</v>
      </c>
      <c r="B22" s="138" t="s">
        <v>381</v>
      </c>
      <c r="C22" s="138" t="s">
        <v>382</v>
      </c>
      <c r="D22" s="138" t="s">
        <v>292</v>
      </c>
      <c r="E22" s="139" t="s">
        <v>293</v>
      </c>
      <c r="F22" s="138" t="s">
        <v>383</v>
      </c>
      <c r="G22" s="140"/>
      <c r="H22" s="141">
        <v>10876981</v>
      </c>
      <c r="I22" s="142">
        <v>26.8826301870937</v>
      </c>
      <c r="J22" s="139">
        <v>537078829135.466</v>
      </c>
      <c r="K22" s="126">
        <v>76.9989333886406</v>
      </c>
      <c r="L22" s="123">
        <v>804</v>
      </c>
      <c r="M22" s="123">
        <v>804</v>
      </c>
      <c r="N22" s="123"/>
      <c r="O22" s="123"/>
      <c r="P22" s="123"/>
      <c r="Q22" s="123"/>
      <c r="R22" s="123">
        <v>1064</v>
      </c>
      <c r="S22" s="123"/>
      <c r="T22" s="123"/>
      <c r="U22" s="123"/>
      <c r="V22" s="123"/>
      <c r="W22" s="123">
        <v>0</v>
      </c>
      <c r="X22" s="123"/>
      <c r="Y22" s="123"/>
      <c r="Z22" s="123"/>
      <c r="AA22" s="123"/>
      <c r="AB22" s="123">
        <v>18</v>
      </c>
      <c r="AC22" s="153"/>
      <c r="AD22" s="153"/>
      <c r="AE22" s="153"/>
      <c r="AF22" s="153"/>
      <c r="AG22" s="153"/>
      <c r="AH22" s="153"/>
      <c r="AI22" s="153">
        <v>58</v>
      </c>
      <c r="AJ22" s="126"/>
      <c r="AK22" s="126"/>
      <c r="AL22" s="126"/>
      <c r="AM22" s="126"/>
      <c r="AN22" s="123">
        <v>122281</v>
      </c>
      <c r="AO22" s="123"/>
      <c r="AP22" s="123"/>
      <c r="AQ22" s="123"/>
      <c r="AR22" s="123">
        <v>201730.583</v>
      </c>
      <c r="AS22" s="126"/>
      <c r="AT22" s="126"/>
      <c r="AU22" s="126"/>
      <c r="AV22" s="126"/>
      <c r="AW22" s="126">
        <v>97.5</v>
      </c>
      <c r="AX22" s="126"/>
      <c r="AY22" s="126"/>
      <c r="AZ22" s="123">
        <v>1.77</v>
      </c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>
        <v>0</v>
      </c>
      <c r="BN22" s="123">
        <v>7</v>
      </c>
      <c r="BO22" s="123">
        <v>13</v>
      </c>
      <c r="BP22" s="139">
        <v>40</v>
      </c>
      <c r="BQ22" s="170">
        <v>0</v>
      </c>
      <c r="BR22" s="123">
        <f t="shared" si="0"/>
        <v>47</v>
      </c>
      <c r="BS22" s="139"/>
      <c r="BT22" s="139"/>
      <c r="BU22" s="139"/>
      <c r="BV22" s="139"/>
      <c r="BW22" s="139"/>
      <c r="BX22" s="139"/>
      <c r="BY22" s="139"/>
      <c r="BZ22" s="139">
        <v>18.63</v>
      </c>
      <c r="CA22" s="139">
        <v>70.14</v>
      </c>
      <c r="CB22" s="139">
        <v>95.28</v>
      </c>
      <c r="CC22" s="139">
        <v>82.08</v>
      </c>
      <c r="CD22" s="139">
        <v>78.77</v>
      </c>
      <c r="CE22" s="139">
        <v>82.55</v>
      </c>
      <c r="CF22" s="139">
        <v>71.2416666666667</v>
      </c>
      <c r="CG22" s="123">
        <v>0.94</v>
      </c>
      <c r="CH22" s="123">
        <v>94</v>
      </c>
      <c r="CI22" s="123">
        <v>82.6208333333334</v>
      </c>
      <c r="CJ22" s="123">
        <v>0.960918034631592</v>
      </c>
      <c r="CK22" s="123">
        <v>96.0918034631592</v>
      </c>
      <c r="CL22" s="123">
        <v>0.95328</v>
      </c>
      <c r="CM22" s="123">
        <v>95.328</v>
      </c>
      <c r="CN22" s="123">
        <v>0.7808</v>
      </c>
      <c r="CO22" s="123">
        <v>78.08</v>
      </c>
      <c r="CP22" s="123">
        <v>100</v>
      </c>
      <c r="CQ22" s="123"/>
      <c r="CR22" s="123">
        <v>92.3749508657898</v>
      </c>
      <c r="CS22" s="123">
        <v>69.8399835398262</v>
      </c>
      <c r="CT22" s="154"/>
      <c r="CU22" s="154"/>
      <c r="CV22" s="154"/>
      <c r="CW22" s="154">
        <v>1</v>
      </c>
      <c r="CX22" s="143">
        <v>100</v>
      </c>
      <c r="CY22" s="154">
        <v>1</v>
      </c>
      <c r="CZ22" s="143">
        <v>100</v>
      </c>
      <c r="DA22" s="154">
        <v>1</v>
      </c>
      <c r="DB22" s="143">
        <v>100</v>
      </c>
      <c r="DC22" s="154">
        <v>1</v>
      </c>
      <c r="DD22" s="123">
        <v>100</v>
      </c>
      <c r="DE22" s="155"/>
      <c r="DF22" s="144">
        <v>1</v>
      </c>
      <c r="DG22" s="144">
        <v>100</v>
      </c>
      <c r="DH22" s="144">
        <v>100</v>
      </c>
      <c r="DI22" s="144">
        <v>1</v>
      </c>
      <c r="DJ22" s="143">
        <v>100</v>
      </c>
      <c r="DK22" s="144"/>
      <c r="DL22" s="144">
        <v>1</v>
      </c>
      <c r="DM22" s="123">
        <v>100</v>
      </c>
      <c r="DN22" s="154"/>
      <c r="DO22" s="154">
        <v>0</v>
      </c>
      <c r="DP22" s="143">
        <v>0</v>
      </c>
      <c r="DQ22" s="154"/>
      <c r="DR22" s="154">
        <v>0</v>
      </c>
      <c r="DS22" s="145">
        <v>0</v>
      </c>
      <c r="DT22" s="143">
        <v>0</v>
      </c>
      <c r="DU22" s="154">
        <v>1</v>
      </c>
      <c r="DV22" s="146">
        <v>100</v>
      </c>
      <c r="DW22" s="146">
        <v>0</v>
      </c>
      <c r="DX22" s="147">
        <v>0</v>
      </c>
      <c r="DY22" s="147">
        <v>33.3333333333333</v>
      </c>
      <c r="DZ22" s="157">
        <v>4</v>
      </c>
      <c r="EA22" s="126"/>
      <c r="EB22" s="126"/>
      <c r="EC22" s="123">
        <v>1</v>
      </c>
      <c r="ED22" s="123">
        <v>50</v>
      </c>
      <c r="EE22" s="123"/>
      <c r="EF22" s="123"/>
      <c r="EG22" s="123"/>
      <c r="EH22">
        <v>435</v>
      </c>
      <c r="EI22" s="123"/>
      <c r="EJ22" s="123">
        <v>431</v>
      </c>
      <c r="EK22" s="123"/>
      <c r="EL22" s="123">
        <v>1.3</v>
      </c>
      <c r="EM22" s="150"/>
      <c r="EN22" s="150"/>
      <c r="EO22" s="150"/>
      <c r="EP22" s="150"/>
      <c r="EQ22" s="216" t="s">
        <v>384</v>
      </c>
      <c r="ER22" s="123">
        <v>73.9545454545455</v>
      </c>
      <c r="ES22" s="123"/>
      <c r="ET22" s="123"/>
      <c r="EU22" s="123"/>
      <c r="EV22" s="123"/>
      <c r="EW22" s="123"/>
      <c r="EX22" s="123"/>
      <c r="EY22" s="123"/>
      <c r="EZ22" s="123"/>
      <c r="FA22" s="123"/>
      <c r="FB22" s="123"/>
      <c r="FC22" s="123"/>
      <c r="FD22" s="123"/>
      <c r="FE22" s="123"/>
      <c r="FF22" s="123"/>
      <c r="FG22" s="123"/>
      <c r="FH22" s="123"/>
      <c r="FI22" s="123"/>
      <c r="FJ22" s="123"/>
      <c r="FK22" s="123"/>
      <c r="FL22" s="123"/>
      <c r="FM22" s="123"/>
      <c r="FN22" s="123"/>
      <c r="FO22" s="123"/>
      <c r="FP22" s="123"/>
      <c r="FQ22" s="123"/>
      <c r="FR22" s="123"/>
      <c r="FS22" s="123"/>
      <c r="FT22" s="149"/>
      <c r="FU22" s="150"/>
      <c r="FV22" s="150">
        <v>58</v>
      </c>
      <c r="FW22" s="123">
        <v>32</v>
      </c>
      <c r="FX22" s="145">
        <v>45</v>
      </c>
      <c r="FY22" s="151"/>
      <c r="FZ22" s="151"/>
      <c r="GA22" s="151">
        <v>2.481481</v>
      </c>
      <c r="GB22" s="123">
        <v>0.402985152818015</v>
      </c>
      <c r="GC22" s="123"/>
      <c r="GD22" s="123">
        <v>40.2985152818015</v>
      </c>
      <c r="GE22" s="123">
        <v>1</v>
      </c>
      <c r="GF22" s="123">
        <v>1</v>
      </c>
      <c r="GG22" s="126">
        <v>100</v>
      </c>
      <c r="GH22" s="123"/>
      <c r="GI22" s="123"/>
      <c r="GJ22" s="123"/>
      <c r="GK22" s="123"/>
      <c r="GL22" s="123"/>
      <c r="GM22" s="123"/>
      <c r="GN22" s="123"/>
      <c r="GO22" s="123"/>
      <c r="GP22" s="123"/>
      <c r="GQ22" s="123">
        <v>5</v>
      </c>
      <c r="GR22" s="123"/>
      <c r="GS22" s="123">
        <v>2</v>
      </c>
      <c r="GT22" s="123"/>
      <c r="GU22" s="123"/>
      <c r="GV22" s="123">
        <v>3056</v>
      </c>
      <c r="GW22" s="123"/>
      <c r="GX22" s="123"/>
      <c r="GY22" s="123"/>
      <c r="GZ22" s="123"/>
      <c r="HA22" s="123">
        <v>103</v>
      </c>
      <c r="HB22" s="123"/>
      <c r="HC22" s="123"/>
      <c r="HD22" s="123"/>
      <c r="HE22" s="123"/>
      <c r="HF22" s="123">
        <v>71</v>
      </c>
      <c r="HG22" s="123"/>
      <c r="HH22" s="123"/>
      <c r="HI22" s="123"/>
      <c r="HJ22" s="123"/>
      <c r="HK22" s="123">
        <v>53</v>
      </c>
    </row>
    <row r="23" s="123" customFormat="1" ht="15" spans="1:219">
      <c r="A23" s="137" t="s">
        <v>385</v>
      </c>
      <c r="B23" s="138" t="s">
        <v>386</v>
      </c>
      <c r="C23" s="138" t="s">
        <v>386</v>
      </c>
      <c r="D23" s="138" t="s">
        <v>292</v>
      </c>
      <c r="E23" s="139" t="s">
        <v>293</v>
      </c>
      <c r="F23" s="138" t="s">
        <v>387</v>
      </c>
      <c r="G23" s="140"/>
      <c r="H23" s="141">
        <v>6036860</v>
      </c>
      <c r="I23" s="142">
        <v>14.9201947554435</v>
      </c>
      <c r="J23" s="139">
        <v>547386645891.847</v>
      </c>
      <c r="K23" s="126">
        <v>78.4767255724891</v>
      </c>
      <c r="L23" s="123">
        <v>4604</v>
      </c>
      <c r="M23" s="123">
        <v>4604</v>
      </c>
      <c r="N23" s="123"/>
      <c r="O23" s="123"/>
      <c r="P23" s="123"/>
      <c r="Q23" s="123"/>
      <c r="R23" s="123">
        <v>6338</v>
      </c>
      <c r="S23" s="123"/>
      <c r="T23" s="123"/>
      <c r="U23" s="123"/>
      <c r="V23" s="123"/>
      <c r="W23" s="123">
        <v>28</v>
      </c>
      <c r="X23" s="123"/>
      <c r="Y23" s="123"/>
      <c r="Z23" s="123"/>
      <c r="AA23" s="123"/>
      <c r="AB23" s="123">
        <v>4</v>
      </c>
      <c r="AC23" s="153"/>
      <c r="AD23" s="153"/>
      <c r="AE23" s="153"/>
      <c r="AF23" s="153"/>
      <c r="AG23" s="153"/>
      <c r="AH23" s="153"/>
      <c r="AI23" s="153">
        <v>78</v>
      </c>
      <c r="AJ23" s="126"/>
      <c r="AK23" s="126"/>
      <c r="AL23" s="126"/>
      <c r="AM23" s="126"/>
      <c r="AN23" s="123">
        <v>38287.83</v>
      </c>
      <c r="AO23" s="123"/>
      <c r="AP23" s="123"/>
      <c r="AQ23" s="123"/>
      <c r="AR23" s="123">
        <v>62498.34</v>
      </c>
      <c r="AS23" s="126"/>
      <c r="AT23" s="126"/>
      <c r="AU23" s="126"/>
      <c r="AV23" s="126"/>
      <c r="AW23" s="126">
        <v>97.8</v>
      </c>
      <c r="AX23" s="126"/>
      <c r="AY23" s="126"/>
      <c r="AZ23">
        <v>1.75</v>
      </c>
      <c r="BA23" s="123"/>
      <c r="BB23" s="123"/>
      <c r="BC23" s="123"/>
      <c r="BD23" s="123"/>
      <c r="BE23" s="123">
        <v>39</v>
      </c>
      <c r="BF23" s="123"/>
      <c r="BG23" s="123"/>
      <c r="BH23" s="123"/>
      <c r="BI23" s="123"/>
      <c r="BJ23" s="123"/>
      <c r="BK23" s="123"/>
      <c r="BL23" s="123"/>
      <c r="BM23" s="123">
        <v>6</v>
      </c>
      <c r="BN23" s="123">
        <v>10</v>
      </c>
      <c r="BO23" s="123">
        <v>21</v>
      </c>
      <c r="BP23" s="139">
        <v>36</v>
      </c>
      <c r="BQ23" s="139">
        <v>0</v>
      </c>
      <c r="BR23" s="123">
        <f t="shared" si="0"/>
        <v>52</v>
      </c>
      <c r="BS23" s="139"/>
      <c r="BT23" s="139"/>
      <c r="BU23" s="139"/>
      <c r="BV23" s="139"/>
      <c r="BW23" s="139"/>
      <c r="BX23" s="139"/>
      <c r="BY23" s="139"/>
      <c r="BZ23" s="139">
        <v>43.63</v>
      </c>
      <c r="CA23" s="139">
        <v>97.16</v>
      </c>
      <c r="CB23" s="139">
        <v>100</v>
      </c>
      <c r="CC23" s="139">
        <v>100</v>
      </c>
      <c r="CD23" s="139">
        <v>98.11</v>
      </c>
      <c r="CE23" s="139">
        <v>98.11</v>
      </c>
      <c r="CF23" s="139">
        <v>89.5016666666667</v>
      </c>
      <c r="CG23" s="123">
        <v>0.946</v>
      </c>
      <c r="CH23" s="123">
        <v>94.6</v>
      </c>
      <c r="CI23" s="123">
        <v>92.0508333333333</v>
      </c>
      <c r="CJ23" s="123">
        <v>0.832653588347917</v>
      </c>
      <c r="CK23" s="123">
        <v>83.2653588347917</v>
      </c>
      <c r="CL23" s="123">
        <v>0.96912</v>
      </c>
      <c r="CM23" s="123">
        <v>96.912</v>
      </c>
      <c r="CN23" s="123">
        <v>0.9589</v>
      </c>
      <c r="CO23" s="123">
        <v>95.89</v>
      </c>
      <c r="CP23" s="123">
        <v>99.86</v>
      </c>
      <c r="CQ23" s="123"/>
      <c r="CR23" s="123">
        <v>93.9818397086979</v>
      </c>
      <c r="CS23" s="123">
        <v>71.5436156687675</v>
      </c>
      <c r="CT23" s="154"/>
      <c r="CU23" s="154"/>
      <c r="CV23" s="154"/>
      <c r="CW23" s="154">
        <v>1</v>
      </c>
      <c r="CX23" s="143">
        <v>100</v>
      </c>
      <c r="CY23" s="154">
        <v>1</v>
      </c>
      <c r="CZ23" s="143">
        <v>100</v>
      </c>
      <c r="DA23" s="154">
        <v>1</v>
      </c>
      <c r="DB23" s="143">
        <v>100</v>
      </c>
      <c r="DC23" s="154">
        <v>1</v>
      </c>
      <c r="DD23" s="123">
        <v>100</v>
      </c>
      <c r="DE23" s="155"/>
      <c r="DF23" s="144">
        <v>1</v>
      </c>
      <c r="DG23" s="144">
        <v>100</v>
      </c>
      <c r="DH23" s="144">
        <v>100</v>
      </c>
      <c r="DI23" s="144">
        <v>1</v>
      </c>
      <c r="DJ23" s="143">
        <v>100</v>
      </c>
      <c r="DK23" s="144"/>
      <c r="DL23" s="144">
        <v>1</v>
      </c>
      <c r="DM23" s="123">
        <v>100</v>
      </c>
      <c r="DN23" s="171"/>
      <c r="DO23" s="171">
        <v>0</v>
      </c>
      <c r="DP23" s="143">
        <v>0</v>
      </c>
      <c r="DQ23" s="171"/>
      <c r="DR23" s="171">
        <v>0</v>
      </c>
      <c r="DS23" s="145">
        <v>0</v>
      </c>
      <c r="DT23" s="143">
        <v>0</v>
      </c>
      <c r="DU23" s="154">
        <v>1</v>
      </c>
      <c r="DV23" s="146">
        <v>100</v>
      </c>
      <c r="DW23" s="166">
        <v>0</v>
      </c>
      <c r="DX23" s="147">
        <v>0</v>
      </c>
      <c r="DY23" s="147">
        <v>33.3333333333333</v>
      </c>
      <c r="DZ23" s="157">
        <v>8</v>
      </c>
      <c r="EA23" s="126"/>
      <c r="EB23" s="126"/>
      <c r="EC23" s="123">
        <v>2</v>
      </c>
      <c r="ED23" s="123">
        <v>100</v>
      </c>
      <c r="EE23" s="123"/>
      <c r="EF23" s="123"/>
      <c r="EG23" s="123"/>
      <c r="EJ23" s="123">
        <v>575</v>
      </c>
      <c r="EK23" s="123"/>
      <c r="EL23" s="123">
        <v>1.3</v>
      </c>
      <c r="EM23" s="150"/>
      <c r="EN23" s="150"/>
      <c r="EO23" s="150"/>
      <c r="EP23" s="150"/>
      <c r="EQ23" s="216" t="s">
        <v>388</v>
      </c>
      <c r="ER23" s="123">
        <v>77.3863636363636</v>
      </c>
      <c r="ES23" s="123">
        <v>0.74</v>
      </c>
      <c r="ET23" s="123">
        <v>0.69</v>
      </c>
      <c r="EU23" s="123"/>
      <c r="EV23" s="123">
        <v>71.5</v>
      </c>
      <c r="EW23" s="123"/>
      <c r="EX23" s="123"/>
      <c r="EY23" s="123">
        <v>0.73</v>
      </c>
      <c r="EZ23" s="123">
        <v>0.67</v>
      </c>
      <c r="FA23" s="123"/>
      <c r="FB23" s="123">
        <v>70</v>
      </c>
      <c r="FC23" s="123">
        <v>0.8</v>
      </c>
      <c r="FD23" s="123">
        <v>0.34</v>
      </c>
      <c r="FE23" s="123">
        <v>0.29</v>
      </c>
      <c r="FF23" s="123">
        <v>0.56</v>
      </c>
      <c r="FG23" s="123">
        <v>0.32</v>
      </c>
      <c r="FH23" s="123">
        <v>0.64</v>
      </c>
      <c r="FI23" s="123">
        <v>0.26</v>
      </c>
      <c r="FJ23" s="123">
        <v>0.45</v>
      </c>
      <c r="FK23" s="123">
        <v>0.38</v>
      </c>
      <c r="FL23" s="123">
        <v>0.49</v>
      </c>
      <c r="FM23" s="123">
        <v>0.32</v>
      </c>
      <c r="FN23" s="123">
        <v>0.39</v>
      </c>
      <c r="FO23" s="123">
        <v>0.28</v>
      </c>
      <c r="FP23" s="123">
        <v>0.57</v>
      </c>
      <c r="FQ23" s="123">
        <v>0.25</v>
      </c>
      <c r="FR23" s="123">
        <v>42.2666666666667</v>
      </c>
      <c r="FS23" s="123">
        <v>0.64</v>
      </c>
      <c r="FT23" s="149">
        <v>0.7</v>
      </c>
      <c r="FU23" s="150">
        <v>67</v>
      </c>
      <c r="FV23" s="150">
        <v>53</v>
      </c>
      <c r="FW23" s="123">
        <v>41</v>
      </c>
      <c r="FX23" s="145">
        <v>47</v>
      </c>
      <c r="FY23" s="151"/>
      <c r="FZ23" s="151"/>
      <c r="GA23" s="151">
        <v>1.613814</v>
      </c>
      <c r="GB23" s="123">
        <v>0.6196500959838</v>
      </c>
      <c r="GC23" s="123"/>
      <c r="GD23" s="123">
        <v>61.96500959838</v>
      </c>
      <c r="GE23" s="123">
        <v>1</v>
      </c>
      <c r="GF23" s="123">
        <v>1</v>
      </c>
      <c r="GG23" s="126">
        <v>100</v>
      </c>
      <c r="GH23" s="123"/>
      <c r="GI23" s="123"/>
      <c r="GJ23" s="123"/>
      <c r="GK23" s="123"/>
      <c r="GL23" s="123"/>
      <c r="GM23" s="123"/>
      <c r="GN23" s="123"/>
      <c r="GO23" s="123"/>
      <c r="GP23" s="123"/>
      <c r="GQ23" s="123">
        <v>29</v>
      </c>
      <c r="GR23" s="123"/>
      <c r="GS23" s="123">
        <v>35</v>
      </c>
      <c r="GT23" s="123"/>
      <c r="GU23" s="123"/>
      <c r="GV23" s="123">
        <v>13530</v>
      </c>
      <c r="GW23" s="123"/>
      <c r="GX23" s="123"/>
      <c r="GY23" s="123"/>
      <c r="GZ23" s="123"/>
      <c r="HA23" s="123">
        <v>403</v>
      </c>
      <c r="HB23" s="123"/>
      <c r="HC23" s="123"/>
      <c r="HD23" s="123"/>
      <c r="HE23" s="123"/>
      <c r="HF23" s="123">
        <v>403</v>
      </c>
      <c r="HG23" s="123"/>
      <c r="HH23" s="123"/>
      <c r="HI23" s="123"/>
      <c r="HJ23" s="123"/>
      <c r="HK23" s="123">
        <v>135</v>
      </c>
    </row>
    <row r="24" s="123" customFormat="1" ht="15" spans="1:219">
      <c r="A24" s="137" t="s">
        <v>389</v>
      </c>
      <c r="B24" s="138" t="s">
        <v>390</v>
      </c>
      <c r="C24" s="138" t="s">
        <v>391</v>
      </c>
      <c r="D24" s="138" t="s">
        <v>292</v>
      </c>
      <c r="E24" s="139" t="s">
        <v>293</v>
      </c>
      <c r="F24" s="138" t="s">
        <v>392</v>
      </c>
      <c r="G24" s="140"/>
      <c r="H24" s="141">
        <v>5338500</v>
      </c>
      <c r="I24" s="142">
        <v>13.194186994884</v>
      </c>
      <c r="J24" s="139">
        <v>260235932558.996</v>
      </c>
      <c r="K24" s="126">
        <v>37.3090283016663</v>
      </c>
      <c r="L24" s="123">
        <v>803</v>
      </c>
      <c r="M24" s="123">
        <v>803</v>
      </c>
      <c r="N24" s="123"/>
      <c r="O24" s="123"/>
      <c r="P24" s="123"/>
      <c r="Q24" s="123"/>
      <c r="R24" s="123">
        <v>1343</v>
      </c>
      <c r="S24" s="123"/>
      <c r="T24" s="123"/>
      <c r="U24" s="123"/>
      <c r="V24" s="123"/>
      <c r="W24" s="123">
        <v>19</v>
      </c>
      <c r="X24" s="123"/>
      <c r="Y24" s="123"/>
      <c r="Z24" s="123"/>
      <c r="AA24" s="123"/>
      <c r="AB24" s="123">
        <v>0</v>
      </c>
      <c r="AC24" s="153"/>
      <c r="AD24" s="153"/>
      <c r="AE24" s="153"/>
      <c r="AF24" s="153"/>
      <c r="AG24" s="153"/>
      <c r="AH24" s="153"/>
      <c r="AI24" s="153">
        <v>55</v>
      </c>
      <c r="AJ24" s="126"/>
      <c r="AK24" s="126"/>
      <c r="AL24" s="126"/>
      <c r="AM24" s="126"/>
      <c r="AN24" s="123"/>
      <c r="AO24" s="123"/>
      <c r="AP24" s="123"/>
      <c r="AQ24" s="123"/>
      <c r="AR24" s="123"/>
      <c r="AS24" s="126"/>
      <c r="AT24" s="126"/>
      <c r="AU24" s="126"/>
      <c r="AV24" s="126"/>
      <c r="AW24" s="126">
        <v>90.3</v>
      </c>
      <c r="AX24" s="126"/>
      <c r="AY24" s="126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M24" s="123">
        <v>6</v>
      </c>
      <c r="BN24" s="123">
        <v>12</v>
      </c>
      <c r="BO24" s="123">
        <v>5</v>
      </c>
      <c r="BP24" s="139">
        <v>19</v>
      </c>
      <c r="BQ24" s="139">
        <v>0</v>
      </c>
      <c r="BR24" s="123">
        <f t="shared" si="0"/>
        <v>37</v>
      </c>
      <c r="BS24" s="139"/>
      <c r="BT24" s="139"/>
      <c r="BU24" s="139"/>
      <c r="BV24" s="139"/>
      <c r="BW24" s="139"/>
      <c r="BX24" s="139"/>
      <c r="BY24" s="139"/>
      <c r="BZ24" s="139">
        <v>99.51</v>
      </c>
      <c r="CA24" s="139">
        <v>96.21</v>
      </c>
      <c r="CB24" s="139">
        <v>92.54</v>
      </c>
      <c r="CC24" s="139">
        <v>98.59</v>
      </c>
      <c r="CD24" s="139">
        <v>95.76</v>
      </c>
      <c r="CE24" s="139">
        <v>98.59</v>
      </c>
      <c r="CF24" s="139">
        <v>96.8666666666667</v>
      </c>
      <c r="CG24" s="123">
        <v>0.938</v>
      </c>
      <c r="CH24" s="123">
        <v>93.8</v>
      </c>
      <c r="CI24" s="123">
        <v>95.3333333333333</v>
      </c>
      <c r="CJ24" s="123">
        <v>0.814168804389563</v>
      </c>
      <c r="CK24" s="123">
        <v>81.4168804389563</v>
      </c>
      <c r="CL24" s="123">
        <v>0.92654</v>
      </c>
      <c r="CM24" s="123">
        <v>92.654</v>
      </c>
      <c r="CN24" s="123">
        <v>0.9315</v>
      </c>
      <c r="CO24" s="123">
        <v>93.15</v>
      </c>
      <c r="CP24" s="123">
        <v>82.63</v>
      </c>
      <c r="CQ24" s="123"/>
      <c r="CR24" s="123">
        <v>87.4627201097391</v>
      </c>
      <c r="CS24" s="123">
        <v>78.9562917198329</v>
      </c>
      <c r="CT24" s="154"/>
      <c r="CU24" s="154"/>
      <c r="CV24" s="154"/>
      <c r="CW24" s="154">
        <v>1</v>
      </c>
      <c r="CX24" s="143">
        <v>100</v>
      </c>
      <c r="CY24" s="154">
        <v>1</v>
      </c>
      <c r="CZ24" s="143">
        <v>100</v>
      </c>
      <c r="DA24" s="154">
        <v>1</v>
      </c>
      <c r="DB24" s="143">
        <v>100</v>
      </c>
      <c r="DC24" s="154">
        <v>1</v>
      </c>
      <c r="DD24" s="123">
        <v>100</v>
      </c>
      <c r="DE24" s="155"/>
      <c r="DF24" s="144">
        <v>0</v>
      </c>
      <c r="DG24" s="144">
        <v>0</v>
      </c>
      <c r="DH24" s="144">
        <v>0</v>
      </c>
      <c r="DI24" s="144">
        <v>1</v>
      </c>
      <c r="DJ24" s="143">
        <v>100</v>
      </c>
      <c r="DK24" s="144"/>
      <c r="DL24" s="144">
        <v>0</v>
      </c>
      <c r="DM24" s="123">
        <v>0</v>
      </c>
      <c r="DN24" s="154"/>
      <c r="DO24" s="154">
        <v>0</v>
      </c>
      <c r="DP24" s="143">
        <v>0</v>
      </c>
      <c r="DQ24" s="154"/>
      <c r="DR24" s="154">
        <v>0</v>
      </c>
      <c r="DS24" s="145">
        <v>0</v>
      </c>
      <c r="DT24" s="143">
        <v>0</v>
      </c>
      <c r="DU24" s="154">
        <v>0</v>
      </c>
      <c r="DV24" s="146">
        <v>0</v>
      </c>
      <c r="DW24" s="146">
        <v>0</v>
      </c>
      <c r="DX24" s="147">
        <v>0</v>
      </c>
      <c r="DY24" s="147">
        <v>0</v>
      </c>
      <c r="DZ24" s="157">
        <v>4</v>
      </c>
      <c r="EA24" s="126"/>
      <c r="EB24" s="126"/>
      <c r="EC24" s="123">
        <v>2</v>
      </c>
      <c r="ED24" s="123">
        <v>100</v>
      </c>
      <c r="EE24" s="123"/>
      <c r="EF24" s="123"/>
      <c r="EG24" s="123"/>
      <c r="EH24" s="123"/>
      <c r="EI24" s="123"/>
      <c r="EJ24" s="123">
        <v>479</v>
      </c>
      <c r="EK24" s="123"/>
      <c r="EL24" s="123"/>
      <c r="EM24" s="123"/>
      <c r="EN24" s="123"/>
      <c r="EO24" s="123"/>
      <c r="EP24" s="123"/>
      <c r="EQ24" s="123">
        <v>0.765</v>
      </c>
      <c r="ER24" s="123">
        <v>76.5</v>
      </c>
      <c r="ES24" s="123"/>
      <c r="ET24" s="123"/>
      <c r="EU24" s="123"/>
      <c r="EV24" s="123"/>
      <c r="EW24" s="123"/>
      <c r="EX24" s="123"/>
      <c r="EY24" s="123"/>
      <c r="EZ24" s="123"/>
      <c r="FA24" s="123"/>
      <c r="FB24" s="123"/>
      <c r="FC24" s="123"/>
      <c r="FD24" s="123"/>
      <c r="FE24" s="123"/>
      <c r="FF24" s="123"/>
      <c r="FG24" s="123"/>
      <c r="FH24" s="123"/>
      <c r="FI24" s="123"/>
      <c r="FJ24" s="123"/>
      <c r="FK24" s="123"/>
      <c r="FL24" s="123"/>
      <c r="FM24" s="123"/>
      <c r="FN24" s="123"/>
      <c r="FO24" s="123"/>
      <c r="FP24" s="123"/>
      <c r="FQ24" s="123"/>
      <c r="FR24" s="123"/>
      <c r="FS24" s="123"/>
      <c r="FT24" s="149"/>
      <c r="FU24" s="150"/>
      <c r="FV24" s="150"/>
      <c r="FW24" s="123"/>
      <c r="FX24" s="145"/>
      <c r="FY24" s="151"/>
      <c r="FZ24" s="151"/>
      <c r="GA24" s="151">
        <v>1.816377</v>
      </c>
      <c r="GB24" s="123">
        <v>0.550546499983208</v>
      </c>
      <c r="GC24" s="123"/>
      <c r="GD24" s="123">
        <v>55.0546499983208</v>
      </c>
      <c r="GE24" s="123">
        <v>1</v>
      </c>
      <c r="GF24" s="123">
        <v>1</v>
      </c>
      <c r="GG24" s="126">
        <v>100</v>
      </c>
      <c r="GH24" s="123"/>
      <c r="GI24" s="123"/>
      <c r="GJ24" s="123"/>
      <c r="GK24" s="123"/>
      <c r="GL24" s="123"/>
      <c r="GM24" s="123"/>
      <c r="GN24" s="123"/>
      <c r="GO24" s="123"/>
      <c r="GP24" s="123"/>
      <c r="GQ24" s="123">
        <v>8</v>
      </c>
      <c r="GR24" s="123"/>
      <c r="GS24" s="123">
        <v>1</v>
      </c>
      <c r="GT24" s="123"/>
      <c r="GU24" s="123"/>
      <c r="GV24" s="123">
        <v>788</v>
      </c>
      <c r="GW24" s="123"/>
      <c r="GX24" s="123"/>
      <c r="GY24" s="123"/>
      <c r="GZ24" s="123"/>
      <c r="HA24" s="123">
        <v>91</v>
      </c>
      <c r="HB24" s="123"/>
      <c r="HC24" s="123"/>
      <c r="HD24" s="123"/>
      <c r="HE24" s="123"/>
      <c r="HF24" s="123">
        <v>35</v>
      </c>
      <c r="HG24" s="123"/>
      <c r="HH24" s="123"/>
      <c r="HI24" s="123"/>
      <c r="HJ24" s="123"/>
      <c r="HK24" s="123">
        <v>45</v>
      </c>
    </row>
    <row r="25" s="123" customFormat="1" ht="15" spans="1:219">
      <c r="A25" s="137" t="s">
        <v>393</v>
      </c>
      <c r="B25" s="138" t="s">
        <v>394</v>
      </c>
      <c r="C25" s="138" t="s">
        <v>394</v>
      </c>
      <c r="D25" s="138" t="s">
        <v>292</v>
      </c>
      <c r="E25" s="139" t="s">
        <v>293</v>
      </c>
      <c r="F25" s="138" t="s">
        <v>395</v>
      </c>
      <c r="G25" s="140"/>
      <c r="H25" s="141">
        <v>17994237</v>
      </c>
      <c r="I25" s="142">
        <v>44.4730407058649</v>
      </c>
      <c r="J25" s="139">
        <v>1227543925316.41</v>
      </c>
      <c r="K25" s="126">
        <v>175.988268033608</v>
      </c>
      <c r="L25" s="123">
        <v>2942</v>
      </c>
      <c r="M25" s="123">
        <v>2942</v>
      </c>
      <c r="N25" s="123"/>
      <c r="O25" s="123"/>
      <c r="P25" s="123"/>
      <c r="Q25" s="123"/>
      <c r="R25" s="123">
        <v>4657</v>
      </c>
      <c r="S25" s="123"/>
      <c r="T25" s="123"/>
      <c r="U25" s="123"/>
      <c r="V25" s="123"/>
      <c r="W25" s="123">
        <v>13</v>
      </c>
      <c r="X25" s="123"/>
      <c r="Y25" s="123"/>
      <c r="Z25" s="123"/>
      <c r="AA25" s="123"/>
      <c r="AB25" s="123">
        <v>18</v>
      </c>
      <c r="AC25" s="153"/>
      <c r="AD25" s="153"/>
      <c r="AE25" s="153"/>
      <c r="AF25" s="153"/>
      <c r="AG25" s="153"/>
      <c r="AH25" s="153"/>
      <c r="AI25" s="153">
        <v>194</v>
      </c>
      <c r="AJ25" s="126"/>
      <c r="AK25" s="126"/>
      <c r="AL25" s="126"/>
      <c r="AM25" s="126"/>
      <c r="AN25" s="123">
        <v>291308.45</v>
      </c>
      <c r="AO25" s="123"/>
      <c r="AP25" s="123"/>
      <c r="AQ25" s="123"/>
      <c r="AR25" s="123">
        <v>489421.17</v>
      </c>
      <c r="AS25" s="126"/>
      <c r="AT25" s="126"/>
      <c r="AU25" s="126"/>
      <c r="AV25" s="126"/>
      <c r="AW25" s="126">
        <v>92.5</v>
      </c>
      <c r="AX25" s="126"/>
      <c r="AY25" s="126"/>
      <c r="AZ25" s="123">
        <v>1.09</v>
      </c>
      <c r="BA25" s="123"/>
      <c r="BB25" s="123"/>
      <c r="BC25" s="123"/>
      <c r="BD25" s="123"/>
      <c r="BE25" s="123">
        <v>24</v>
      </c>
      <c r="BF25" s="123"/>
      <c r="BG25" s="123"/>
      <c r="BH25" s="123"/>
      <c r="BI25" s="123"/>
      <c r="BJ25" s="123"/>
      <c r="BK25" s="123"/>
      <c r="BL25" s="123"/>
      <c r="BM25" s="123">
        <v>3</v>
      </c>
      <c r="BN25" s="123">
        <v>26</v>
      </c>
      <c r="BO25" s="123">
        <v>13</v>
      </c>
      <c r="BP25" s="139">
        <v>56</v>
      </c>
      <c r="BQ25" s="139">
        <v>0</v>
      </c>
      <c r="BR25" s="123">
        <f t="shared" si="0"/>
        <v>85</v>
      </c>
      <c r="BS25" s="139"/>
      <c r="BT25" s="139"/>
      <c r="BU25" s="139"/>
      <c r="BV25" s="139"/>
      <c r="BW25" s="139"/>
      <c r="BX25" s="139"/>
      <c r="BY25" s="139"/>
      <c r="BZ25" s="139">
        <v>96.57</v>
      </c>
      <c r="CA25" s="139">
        <v>68.72</v>
      </c>
      <c r="CB25" s="139">
        <v>95.75</v>
      </c>
      <c r="CC25" s="139">
        <v>97.17</v>
      </c>
      <c r="CD25" s="139">
        <v>94.34</v>
      </c>
      <c r="CE25" s="139">
        <v>96.23</v>
      </c>
      <c r="CF25" s="139">
        <v>91.4633333333333</v>
      </c>
      <c r="CG25" s="123">
        <v>0.955</v>
      </c>
      <c r="CH25" s="123">
        <v>95.5</v>
      </c>
      <c r="CI25" s="123">
        <v>93.4816666666667</v>
      </c>
      <c r="CJ25" s="123">
        <v>0.758781046108232</v>
      </c>
      <c r="CK25" s="123">
        <v>75.8781046108232</v>
      </c>
      <c r="CL25" s="123">
        <v>0.95384</v>
      </c>
      <c r="CM25" s="123">
        <v>95.384</v>
      </c>
      <c r="CN25" s="123">
        <v>0.9315</v>
      </c>
      <c r="CO25" s="123">
        <v>93.15</v>
      </c>
      <c r="CP25" s="123">
        <v>99.22</v>
      </c>
      <c r="CQ25" s="123"/>
      <c r="CR25" s="123">
        <v>90.9080261527058</v>
      </c>
      <c r="CS25" s="123">
        <v>79.9814298374828</v>
      </c>
      <c r="CT25" s="154"/>
      <c r="CU25" s="154"/>
      <c r="CV25" s="154"/>
      <c r="CW25" s="154">
        <v>1</v>
      </c>
      <c r="CX25" s="143">
        <v>100</v>
      </c>
      <c r="CY25" s="154">
        <v>1</v>
      </c>
      <c r="CZ25" s="143">
        <v>100</v>
      </c>
      <c r="DA25" s="154">
        <v>1</v>
      </c>
      <c r="DB25" s="143">
        <v>100</v>
      </c>
      <c r="DC25" s="154">
        <v>1</v>
      </c>
      <c r="DD25" s="123">
        <v>100</v>
      </c>
      <c r="DE25" s="155"/>
      <c r="DF25" s="144">
        <v>0</v>
      </c>
      <c r="DG25" s="144">
        <v>0</v>
      </c>
      <c r="DH25" s="144">
        <v>0</v>
      </c>
      <c r="DI25" s="144">
        <v>0</v>
      </c>
      <c r="DJ25" s="143">
        <v>0</v>
      </c>
      <c r="DK25" s="144"/>
      <c r="DL25" s="144">
        <v>1</v>
      </c>
      <c r="DM25" s="123">
        <v>100</v>
      </c>
      <c r="DN25" s="154"/>
      <c r="DO25" s="154">
        <v>0</v>
      </c>
      <c r="DP25" s="143">
        <v>0</v>
      </c>
      <c r="DQ25" s="154"/>
      <c r="DR25" s="154">
        <v>2</v>
      </c>
      <c r="DS25" s="145">
        <v>1</v>
      </c>
      <c r="DT25" s="143">
        <v>100</v>
      </c>
      <c r="DU25" s="154">
        <v>1</v>
      </c>
      <c r="DV25" s="146">
        <v>100</v>
      </c>
      <c r="DW25" s="146">
        <v>1</v>
      </c>
      <c r="DX25" s="147">
        <v>100</v>
      </c>
      <c r="DY25" s="147">
        <v>100</v>
      </c>
      <c r="DZ25" s="157">
        <v>7</v>
      </c>
      <c r="EA25" s="126"/>
      <c r="EB25" s="126"/>
      <c r="EC25" s="123">
        <v>2</v>
      </c>
      <c r="ED25" s="123">
        <v>100</v>
      </c>
      <c r="EE25" s="123"/>
      <c r="EF25" s="123"/>
      <c r="EG25" s="123"/>
      <c r="EH25">
        <v>519</v>
      </c>
      <c r="EI25" s="123"/>
      <c r="EJ25" s="123">
        <v>493</v>
      </c>
      <c r="EK25" s="123"/>
      <c r="EL25" s="123"/>
      <c r="EM25" s="150"/>
      <c r="EN25" s="150"/>
      <c r="EO25" s="150"/>
      <c r="EP25" s="150"/>
      <c r="EQ25" s="216" t="s">
        <v>396</v>
      </c>
      <c r="ER25" s="123">
        <v>81.7272727272727</v>
      </c>
      <c r="ES25" s="123">
        <v>0.75</v>
      </c>
      <c r="ET25" s="123">
        <v>0.41</v>
      </c>
      <c r="EU25" s="123">
        <v>69.37</v>
      </c>
      <c r="EV25" s="123">
        <v>61.79</v>
      </c>
      <c r="EW25" s="123"/>
      <c r="EX25" s="123"/>
      <c r="EY25" s="123">
        <v>0.43</v>
      </c>
      <c r="EZ25" s="123">
        <v>0.39</v>
      </c>
      <c r="FA25" s="123">
        <v>21</v>
      </c>
      <c r="FB25" s="123">
        <v>34.3333333333333</v>
      </c>
      <c r="FC25" s="123">
        <v>0.69</v>
      </c>
      <c r="FD25" s="123">
        <v>0.19</v>
      </c>
      <c r="FE25" s="123">
        <v>0.22</v>
      </c>
      <c r="FF25" s="123">
        <v>0.43</v>
      </c>
      <c r="FG25" s="123">
        <v>0.32</v>
      </c>
      <c r="FH25" s="123">
        <v>0.58</v>
      </c>
      <c r="FI25" s="123">
        <v>0.26</v>
      </c>
      <c r="FJ25" s="123">
        <v>0.25</v>
      </c>
      <c r="FK25" s="123">
        <v>0.53</v>
      </c>
      <c r="FL25" s="123">
        <v>0.28</v>
      </c>
      <c r="FM25" s="123">
        <v>0.53</v>
      </c>
      <c r="FN25" s="123">
        <v>0.19</v>
      </c>
      <c r="FO25" s="123">
        <v>0.33</v>
      </c>
      <c r="FP25" s="123">
        <v>0.3</v>
      </c>
      <c r="FQ25" s="123">
        <v>0.37</v>
      </c>
      <c r="FR25" s="123">
        <v>36.4666666666667</v>
      </c>
      <c r="FS25" s="123">
        <v>0.39</v>
      </c>
      <c r="FT25" s="149">
        <v>0.33</v>
      </c>
      <c r="FU25" s="150">
        <v>36</v>
      </c>
      <c r="FV25" s="150"/>
      <c r="FW25" s="123"/>
      <c r="FX25" s="145"/>
      <c r="FY25" s="151"/>
      <c r="FZ25" s="151"/>
      <c r="GA25" s="151">
        <v>4.046045</v>
      </c>
      <c r="GB25" s="123">
        <v>0.247154937723135</v>
      </c>
      <c r="GC25" s="123"/>
      <c r="GD25" s="123">
        <v>24.7154937723135</v>
      </c>
      <c r="GE25" s="123">
        <v>1</v>
      </c>
      <c r="GF25" s="123">
        <v>1</v>
      </c>
      <c r="GG25" s="126">
        <v>100</v>
      </c>
      <c r="GH25" s="123">
        <v>11.42</v>
      </c>
      <c r="GI25" s="123"/>
      <c r="GJ25" s="123"/>
      <c r="GK25" s="123">
        <v>98.65</v>
      </c>
      <c r="GL25" s="123">
        <v>98.65</v>
      </c>
      <c r="GM25" s="123">
        <v>99.9</v>
      </c>
      <c r="GN25" s="123">
        <v>99.9</v>
      </c>
      <c r="GO25" s="123"/>
      <c r="GP25" s="123"/>
      <c r="GQ25" s="123">
        <v>14</v>
      </c>
      <c r="GR25" s="123"/>
      <c r="GS25" s="123">
        <v>7</v>
      </c>
      <c r="GT25" s="123"/>
      <c r="GU25" s="123"/>
      <c r="GV25" s="123">
        <v>86497</v>
      </c>
      <c r="GW25" s="123"/>
      <c r="GX25" s="123"/>
      <c r="GY25" s="123"/>
      <c r="GZ25" s="123"/>
      <c r="HA25" s="123">
        <v>417</v>
      </c>
      <c r="HB25" s="123"/>
      <c r="HC25" s="123"/>
      <c r="HD25" s="123"/>
      <c r="HE25" s="123"/>
      <c r="HF25" s="123">
        <v>169</v>
      </c>
      <c r="HG25" s="123"/>
      <c r="HH25" s="123"/>
      <c r="HI25" s="123"/>
      <c r="HJ25" s="123"/>
      <c r="HK25" s="123">
        <v>178</v>
      </c>
    </row>
    <row r="26" s="123" customFormat="1" ht="15" spans="1:219">
      <c r="A26" s="137" t="s">
        <v>397</v>
      </c>
      <c r="B26" s="138" t="s">
        <v>398</v>
      </c>
      <c r="C26" s="138" t="s">
        <v>398</v>
      </c>
      <c r="D26" s="138" t="s">
        <v>292</v>
      </c>
      <c r="E26" s="139" t="s">
        <v>293</v>
      </c>
      <c r="F26" s="138" t="s">
        <v>399</v>
      </c>
      <c r="G26" s="140"/>
      <c r="H26" s="141">
        <v>5637214</v>
      </c>
      <c r="I26" s="142">
        <v>13.9324633597786</v>
      </c>
      <c r="J26" s="139">
        <v>299835625550.781</v>
      </c>
      <c r="K26" s="126">
        <v>42.9862845208199</v>
      </c>
      <c r="L26" s="123">
        <v>1214</v>
      </c>
      <c r="M26" s="123">
        <v>1214</v>
      </c>
      <c r="N26" s="123"/>
      <c r="O26" s="123"/>
      <c r="P26" s="123"/>
      <c r="Q26" s="123"/>
      <c r="R26" s="123">
        <v>1832</v>
      </c>
      <c r="S26" s="123"/>
      <c r="T26" s="123"/>
      <c r="U26" s="123"/>
      <c r="V26" s="123"/>
      <c r="W26" s="123">
        <v>1</v>
      </c>
      <c r="X26" s="123"/>
      <c r="Y26" s="123"/>
      <c r="Z26" s="123"/>
      <c r="AA26" s="123"/>
      <c r="AB26" s="123">
        <v>5</v>
      </c>
      <c r="AC26" s="153"/>
      <c r="AD26" s="153"/>
      <c r="AE26" s="153"/>
      <c r="AF26" s="153"/>
      <c r="AG26" s="153"/>
      <c r="AH26" s="153"/>
      <c r="AI26" s="153">
        <v>86</v>
      </c>
      <c r="AJ26" s="126"/>
      <c r="AK26" s="126"/>
      <c r="AL26" s="126"/>
      <c r="AM26" s="126"/>
      <c r="AN26" s="123">
        <v>391388.31</v>
      </c>
      <c r="AO26" s="123"/>
      <c r="AP26" s="123"/>
      <c r="AQ26" s="123"/>
      <c r="AR26" s="123">
        <v>546192.5848</v>
      </c>
      <c r="AS26" s="126"/>
      <c r="AT26" s="126"/>
      <c r="AU26" s="126"/>
      <c r="AV26" s="126"/>
      <c r="AW26" s="126">
        <v>98.1</v>
      </c>
      <c r="AX26" s="126"/>
      <c r="AY26" s="126"/>
      <c r="AZ26" s="123"/>
      <c r="BA26" s="123"/>
      <c r="BB26" s="123"/>
      <c r="BC26" s="123"/>
      <c r="BD26" s="123"/>
      <c r="BE26" s="123"/>
      <c r="BF26" s="123"/>
      <c r="BG26" s="123"/>
      <c r="BH26" s="123"/>
      <c r="BI26" s="123"/>
      <c r="BJ26" s="123"/>
      <c r="BK26" s="123"/>
      <c r="BL26" s="123"/>
      <c r="BM26" s="123">
        <v>1</v>
      </c>
      <c r="BN26" s="123">
        <v>3</v>
      </c>
      <c r="BO26" s="123">
        <v>2</v>
      </c>
      <c r="BP26" s="139">
        <v>6</v>
      </c>
      <c r="BQ26" s="139">
        <v>0</v>
      </c>
      <c r="BR26" s="123">
        <f t="shared" si="0"/>
        <v>10</v>
      </c>
      <c r="BS26" s="139"/>
      <c r="BT26" s="139"/>
      <c r="BU26" s="139"/>
      <c r="BV26" s="139"/>
      <c r="BW26" s="139"/>
      <c r="BX26" s="139"/>
      <c r="BY26" s="139"/>
      <c r="BZ26" s="139">
        <v>97.55</v>
      </c>
      <c r="CA26" s="139">
        <v>71.09</v>
      </c>
      <c r="CB26" s="139">
        <v>97.17</v>
      </c>
      <c r="CC26" s="139">
        <v>96.7</v>
      </c>
      <c r="CD26" s="139">
        <v>100</v>
      </c>
      <c r="CE26" s="139">
        <v>99.53</v>
      </c>
      <c r="CF26" s="139">
        <v>93.6733333333333</v>
      </c>
      <c r="CG26" s="123">
        <v>0.948</v>
      </c>
      <c r="CH26" s="123">
        <v>94.8</v>
      </c>
      <c r="CI26" s="123">
        <v>94.2366666666667</v>
      </c>
      <c r="CJ26" s="123">
        <v>0.810951660227684</v>
      </c>
      <c r="CK26" s="123">
        <v>81.0951660227684</v>
      </c>
      <c r="CL26" s="123">
        <v>0.95746</v>
      </c>
      <c r="CM26" s="123">
        <v>95.746</v>
      </c>
      <c r="CN26" s="123">
        <v>0.8904</v>
      </c>
      <c r="CO26" s="123">
        <v>89.04</v>
      </c>
      <c r="CP26" s="123">
        <v>100</v>
      </c>
      <c r="CQ26" s="123"/>
      <c r="CR26" s="123">
        <v>91.4702915056921</v>
      </c>
      <c r="CS26" s="123">
        <v>87.0224616297102</v>
      </c>
      <c r="CT26" s="154"/>
      <c r="CU26" s="154"/>
      <c r="CV26" s="154"/>
      <c r="CW26" s="154">
        <v>1</v>
      </c>
      <c r="CX26" s="143">
        <v>100</v>
      </c>
      <c r="CY26" s="154">
        <v>1</v>
      </c>
      <c r="CZ26" s="143">
        <v>100</v>
      </c>
      <c r="DA26" s="154">
        <v>1</v>
      </c>
      <c r="DB26" s="143">
        <v>100</v>
      </c>
      <c r="DC26" s="154">
        <v>1</v>
      </c>
      <c r="DD26" s="123">
        <v>100</v>
      </c>
      <c r="DE26" s="155"/>
      <c r="DF26" s="144">
        <v>1</v>
      </c>
      <c r="DG26" s="144">
        <v>100</v>
      </c>
      <c r="DH26" s="144">
        <v>100</v>
      </c>
      <c r="DI26" s="144">
        <v>0</v>
      </c>
      <c r="DJ26" s="143">
        <v>0</v>
      </c>
      <c r="DK26" s="144"/>
      <c r="DL26" s="144">
        <v>0</v>
      </c>
      <c r="DM26" s="123">
        <v>0</v>
      </c>
      <c r="DN26" s="154"/>
      <c r="DO26" s="154">
        <v>0</v>
      </c>
      <c r="DP26" s="143">
        <v>0</v>
      </c>
      <c r="DQ26" s="154"/>
      <c r="DR26" s="154">
        <v>2</v>
      </c>
      <c r="DS26" s="145">
        <v>1</v>
      </c>
      <c r="DT26" s="143">
        <v>100</v>
      </c>
      <c r="DU26" s="154">
        <v>0</v>
      </c>
      <c r="DV26" s="146">
        <v>0</v>
      </c>
      <c r="DW26" s="146">
        <v>1</v>
      </c>
      <c r="DX26" s="147">
        <v>100</v>
      </c>
      <c r="DY26" s="147">
        <v>66.6666666666667</v>
      </c>
      <c r="DZ26" s="157">
        <v>4</v>
      </c>
      <c r="EA26" s="126"/>
      <c r="EB26" s="126"/>
      <c r="EC26" s="123">
        <v>2</v>
      </c>
      <c r="ED26" s="123">
        <v>100</v>
      </c>
      <c r="EE26" s="123"/>
      <c r="EF26" s="123"/>
      <c r="EG26" s="123"/>
      <c r="EH26" s="165">
        <v>507</v>
      </c>
      <c r="EI26" s="123"/>
      <c r="EJ26" s="123">
        <v>484</v>
      </c>
      <c r="EK26" s="123"/>
      <c r="EL26" s="123"/>
      <c r="EM26" s="150"/>
      <c r="EN26" s="150"/>
      <c r="EO26" s="150"/>
      <c r="EP26" s="150"/>
      <c r="EQ26" s="216" t="s">
        <v>400</v>
      </c>
      <c r="ER26" s="123">
        <v>80.7954545454545</v>
      </c>
      <c r="ES26" s="123"/>
      <c r="ET26" s="123"/>
      <c r="EU26" s="123">
        <v>81.69</v>
      </c>
      <c r="EV26" s="123">
        <v>27.23</v>
      </c>
      <c r="EW26" s="123"/>
      <c r="EX26" s="123"/>
      <c r="EY26" s="123"/>
      <c r="EZ26" s="123"/>
      <c r="FA26" s="123">
        <v>26</v>
      </c>
      <c r="FB26" s="123">
        <v>8.66666666666667</v>
      </c>
      <c r="FC26" s="123"/>
      <c r="FD26" s="123"/>
      <c r="FE26" s="123"/>
      <c r="FF26" s="123"/>
      <c r="FG26" s="123"/>
      <c r="FH26" s="123"/>
      <c r="FI26" s="123"/>
      <c r="FJ26" s="123"/>
      <c r="FK26" s="123"/>
      <c r="FL26" s="123"/>
      <c r="FM26" s="123"/>
      <c r="FN26" s="123"/>
      <c r="FO26" s="123"/>
      <c r="FP26" s="123"/>
      <c r="FQ26" s="123"/>
      <c r="FR26" s="123"/>
      <c r="FS26" s="123"/>
      <c r="FT26" s="149"/>
      <c r="FU26" s="150"/>
      <c r="FV26" s="150"/>
      <c r="FW26" s="123"/>
      <c r="FX26" s="145"/>
      <c r="FY26" s="151"/>
      <c r="FZ26" s="151"/>
      <c r="GA26" s="151">
        <v>4.015723</v>
      </c>
      <c r="GB26" s="123">
        <v>0.249021160075035</v>
      </c>
      <c r="GC26" s="123"/>
      <c r="GD26" s="123">
        <v>24.9021160075035</v>
      </c>
      <c r="GE26" s="123">
        <v>1</v>
      </c>
      <c r="GF26" s="123">
        <v>1</v>
      </c>
      <c r="GG26" s="126">
        <v>100</v>
      </c>
      <c r="GH26" s="123">
        <v>9.91</v>
      </c>
      <c r="GI26" s="123"/>
      <c r="GJ26" s="123"/>
      <c r="GK26" s="123">
        <v>94.05</v>
      </c>
      <c r="GL26" s="123">
        <v>94.05</v>
      </c>
      <c r="GM26" s="123">
        <v>100</v>
      </c>
      <c r="GN26" s="123">
        <v>100</v>
      </c>
      <c r="GO26" s="123"/>
      <c r="GP26" s="123"/>
      <c r="GQ26" s="123">
        <v>2</v>
      </c>
      <c r="GR26" s="123"/>
      <c r="GS26" s="123">
        <v>1</v>
      </c>
      <c r="GT26" s="123"/>
      <c r="GU26" s="123"/>
      <c r="GV26" s="123">
        <v>4395</v>
      </c>
      <c r="GW26" s="123"/>
      <c r="GX26" s="123"/>
      <c r="GY26" s="123"/>
      <c r="GZ26" s="123"/>
      <c r="HA26" s="123">
        <v>171</v>
      </c>
      <c r="HB26" s="123"/>
      <c r="HC26" s="123"/>
      <c r="HD26" s="123"/>
      <c r="HE26" s="123"/>
      <c r="HF26" s="123">
        <v>64</v>
      </c>
      <c r="HG26" s="123"/>
      <c r="HH26" s="123"/>
      <c r="HI26" s="123"/>
      <c r="HJ26" s="123"/>
      <c r="HK26" s="123">
        <v>81</v>
      </c>
    </row>
    <row r="27" s="123" customFormat="1" ht="15" spans="1:219">
      <c r="A27" s="137" t="s">
        <v>401</v>
      </c>
      <c r="B27" s="138" t="s">
        <v>402</v>
      </c>
      <c r="C27" s="138" t="s">
        <v>402</v>
      </c>
      <c r="D27" s="138" t="s">
        <v>292</v>
      </c>
      <c r="E27" s="139" t="s">
        <v>293</v>
      </c>
      <c r="F27" s="138" t="s">
        <v>403</v>
      </c>
      <c r="G27" s="140"/>
      <c r="H27" s="141">
        <v>48807137</v>
      </c>
      <c r="I27" s="142">
        <v>120.627609302785</v>
      </c>
      <c r="J27" s="139">
        <v>1722745978335.16</v>
      </c>
      <c r="K27" s="126">
        <v>246.983488522352</v>
      </c>
      <c r="L27" s="123">
        <v>4035</v>
      </c>
      <c r="M27" s="123">
        <v>4035</v>
      </c>
      <c r="N27" s="123"/>
      <c r="O27" s="123"/>
      <c r="P27" s="123"/>
      <c r="Q27" s="123"/>
      <c r="R27" s="123">
        <v>7300</v>
      </c>
      <c r="S27" s="123"/>
      <c r="T27" s="123"/>
      <c r="U27" s="123"/>
      <c r="V27" s="123"/>
      <c r="W27" s="123">
        <v>16</v>
      </c>
      <c r="X27" s="123"/>
      <c r="Y27" s="123"/>
      <c r="Z27" s="123"/>
      <c r="AA27" s="123"/>
      <c r="AB27" s="123">
        <v>0</v>
      </c>
      <c r="AC27" s="153"/>
      <c r="AD27" s="153"/>
      <c r="AE27" s="153"/>
      <c r="AF27" s="153"/>
      <c r="AG27" s="153"/>
      <c r="AH27" s="153"/>
      <c r="AI27" s="153">
        <v>191</v>
      </c>
      <c r="AJ27" s="126"/>
      <c r="AK27" s="126"/>
      <c r="AL27" s="126"/>
      <c r="AM27" s="126"/>
      <c r="AN27" s="123">
        <v>221872.6</v>
      </c>
      <c r="AO27" s="123"/>
      <c r="AP27" s="123"/>
      <c r="AQ27" s="123"/>
      <c r="AR27" s="123">
        <v>306102.9906</v>
      </c>
      <c r="AS27" s="126"/>
      <c r="AT27" s="126"/>
      <c r="AU27" s="126"/>
      <c r="AV27" s="126"/>
      <c r="AW27" s="126">
        <v>92.5</v>
      </c>
      <c r="AX27" s="126"/>
      <c r="AY27" s="126"/>
      <c r="AZ27" s="123"/>
      <c r="BA27" s="123"/>
      <c r="BB27" s="123"/>
      <c r="BC27" s="123"/>
      <c r="BD27" s="123"/>
      <c r="BE27" s="123">
        <v>18</v>
      </c>
      <c r="BF27" s="123"/>
      <c r="BG27" s="123"/>
      <c r="BH27" s="123"/>
      <c r="BI27" s="123"/>
      <c r="BJ27" s="123"/>
      <c r="BK27" s="123"/>
      <c r="BL27" s="123"/>
      <c r="BM27" s="123">
        <v>13</v>
      </c>
      <c r="BN27" s="123">
        <v>24</v>
      </c>
      <c r="BO27" s="123">
        <v>87</v>
      </c>
      <c r="BP27" s="139">
        <v>187</v>
      </c>
      <c r="BQ27" s="139">
        <v>0</v>
      </c>
      <c r="BR27" s="123">
        <f t="shared" si="0"/>
        <v>224</v>
      </c>
      <c r="BS27" s="139"/>
      <c r="BT27" s="139"/>
      <c r="BU27" s="139"/>
      <c r="BV27" s="139"/>
      <c r="BW27" s="139"/>
      <c r="BX27" s="139"/>
      <c r="BY27" s="139"/>
      <c r="BZ27" s="139">
        <v>87.75</v>
      </c>
      <c r="CA27" s="139">
        <v>54.98</v>
      </c>
      <c r="CB27" s="139">
        <v>76.89</v>
      </c>
      <c r="CC27" s="139">
        <v>74.53</v>
      </c>
      <c r="CD27" s="139">
        <v>78.3</v>
      </c>
      <c r="CE27" s="139">
        <v>71.1</v>
      </c>
      <c r="CF27" s="139">
        <v>73.925</v>
      </c>
      <c r="CG27" s="123">
        <v>0.918</v>
      </c>
      <c r="CH27" s="123">
        <v>91.8</v>
      </c>
      <c r="CI27" s="123">
        <v>82.8625</v>
      </c>
      <c r="CJ27" s="123">
        <v>0.888301699710908</v>
      </c>
      <c r="CK27" s="123">
        <v>88.8301699710908</v>
      </c>
      <c r="CL27" s="123">
        <v>0.9206</v>
      </c>
      <c r="CM27" s="123">
        <v>92.06</v>
      </c>
      <c r="CN27" s="123">
        <v>0.8082</v>
      </c>
      <c r="CO27" s="123">
        <v>80.82</v>
      </c>
      <c r="CP27" s="123">
        <v>99.74</v>
      </c>
      <c r="CQ27" s="123"/>
      <c r="CR27" s="123">
        <v>90.3625424927727</v>
      </c>
      <c r="CS27" s="123">
        <v>81.0378642326628</v>
      </c>
      <c r="CT27" s="154"/>
      <c r="CU27" s="154"/>
      <c r="CV27" s="154"/>
      <c r="CW27" s="154">
        <v>1</v>
      </c>
      <c r="CX27" s="143">
        <v>100</v>
      </c>
      <c r="CY27" s="154">
        <v>1</v>
      </c>
      <c r="CZ27" s="143">
        <v>100</v>
      </c>
      <c r="DA27" s="154">
        <v>1</v>
      </c>
      <c r="DB27" s="143">
        <v>100</v>
      </c>
      <c r="DC27" s="154">
        <v>1</v>
      </c>
      <c r="DD27" s="123">
        <v>100</v>
      </c>
      <c r="DE27" s="155"/>
      <c r="DF27" s="144">
        <v>1</v>
      </c>
      <c r="DG27" s="144">
        <v>100</v>
      </c>
      <c r="DH27" s="144">
        <v>100</v>
      </c>
      <c r="DI27" s="144">
        <v>0</v>
      </c>
      <c r="DJ27" s="143">
        <v>0</v>
      </c>
      <c r="DK27" s="144"/>
      <c r="DL27" s="144">
        <v>0</v>
      </c>
      <c r="DM27" s="123">
        <v>0</v>
      </c>
      <c r="DN27" s="154"/>
      <c r="DO27" s="154">
        <v>0</v>
      </c>
      <c r="DP27" s="143">
        <v>0</v>
      </c>
      <c r="DQ27" s="154"/>
      <c r="DR27" s="154">
        <v>2</v>
      </c>
      <c r="DS27" s="145">
        <v>1</v>
      </c>
      <c r="DT27" s="143">
        <v>100</v>
      </c>
      <c r="DU27" s="154">
        <v>0</v>
      </c>
      <c r="DV27" s="146">
        <v>0</v>
      </c>
      <c r="DW27" s="146">
        <v>1</v>
      </c>
      <c r="DX27" s="147">
        <v>100</v>
      </c>
      <c r="DY27" s="147">
        <v>66.6666666666667</v>
      </c>
      <c r="DZ27" s="157">
        <v>6</v>
      </c>
      <c r="EA27" s="126"/>
      <c r="EB27" s="126"/>
      <c r="EC27" s="123">
        <v>2</v>
      </c>
      <c r="ED27" s="123">
        <v>100</v>
      </c>
      <c r="EE27" s="123"/>
      <c r="EF27" s="123"/>
      <c r="EG27" s="123"/>
      <c r="EH27">
        <v>481</v>
      </c>
      <c r="EI27" s="123"/>
      <c r="EJ27" s="123">
        <v>473</v>
      </c>
      <c r="EK27" s="123"/>
      <c r="EL27" s="123">
        <v>2.5</v>
      </c>
      <c r="EM27" s="150"/>
      <c r="EN27" s="150"/>
      <c r="EO27" s="150"/>
      <c r="EP27" s="150"/>
      <c r="EQ27" s="216" t="s">
        <v>404</v>
      </c>
      <c r="ER27" s="123">
        <v>75.4545454545455</v>
      </c>
      <c r="ES27" s="123">
        <v>0.66</v>
      </c>
      <c r="ET27" s="123">
        <v>0.44</v>
      </c>
      <c r="EU27" s="123">
        <v>76.79</v>
      </c>
      <c r="EV27" s="123">
        <v>62.2633333333333</v>
      </c>
      <c r="EW27" s="123"/>
      <c r="EX27" s="123"/>
      <c r="EY27" s="123">
        <v>0.53</v>
      </c>
      <c r="EZ27" s="123">
        <v>0.45</v>
      </c>
      <c r="FA27" s="123">
        <v>30</v>
      </c>
      <c r="FB27" s="123">
        <v>42.6666666666667</v>
      </c>
      <c r="FC27" s="123">
        <v>0.6</v>
      </c>
      <c r="FD27" s="123">
        <v>0.25</v>
      </c>
      <c r="FE27" s="123">
        <v>0.3</v>
      </c>
      <c r="FF27" s="123">
        <v>0.45</v>
      </c>
      <c r="FG27" s="123">
        <v>0.34</v>
      </c>
      <c r="FH27" s="123">
        <v>0.48</v>
      </c>
      <c r="FI27" s="123">
        <v>0.33</v>
      </c>
      <c r="FJ27" s="123">
        <v>0.31</v>
      </c>
      <c r="FK27" s="123">
        <v>0.47</v>
      </c>
      <c r="FL27" s="123">
        <v>0.3</v>
      </c>
      <c r="FM27" s="123">
        <v>0.46</v>
      </c>
      <c r="FN27" s="123">
        <v>0.25</v>
      </c>
      <c r="FO27" s="123">
        <v>0.31</v>
      </c>
      <c r="FP27" s="123">
        <v>0.26</v>
      </c>
      <c r="FQ27" s="123">
        <v>0.39</v>
      </c>
      <c r="FR27" s="123">
        <v>36.6666666666667</v>
      </c>
      <c r="FS27" s="123">
        <v>0.5</v>
      </c>
      <c r="FT27" s="149">
        <v>0.52</v>
      </c>
      <c r="FU27" s="150">
        <v>51</v>
      </c>
      <c r="FV27" s="150">
        <v>28</v>
      </c>
      <c r="FW27" s="123">
        <v>51</v>
      </c>
      <c r="FX27" s="145">
        <v>39.5</v>
      </c>
      <c r="FY27" s="151"/>
      <c r="FZ27" s="151"/>
      <c r="GA27" s="151">
        <v>3.903053</v>
      </c>
      <c r="GB27" s="123">
        <v>0.256209690209177</v>
      </c>
      <c r="GC27" s="123"/>
      <c r="GD27" s="123">
        <v>25.6209690209177</v>
      </c>
      <c r="GE27" s="123">
        <v>1</v>
      </c>
      <c r="GF27" s="123">
        <v>1</v>
      </c>
      <c r="GG27" s="126">
        <v>100</v>
      </c>
      <c r="GH27" s="123">
        <v>15.38</v>
      </c>
      <c r="GI27" s="123"/>
      <c r="GJ27" s="123"/>
      <c r="GK27" s="123">
        <v>89.62</v>
      </c>
      <c r="GL27" s="123">
        <v>89.62</v>
      </c>
      <c r="GM27" s="123">
        <v>98.26</v>
      </c>
      <c r="GN27" s="123">
        <v>98.26</v>
      </c>
      <c r="GO27" s="123"/>
      <c r="GP27" s="123"/>
      <c r="GQ27" s="123">
        <v>7</v>
      </c>
      <c r="GR27" s="123"/>
      <c r="GS27" s="123"/>
      <c r="GT27" s="123"/>
      <c r="GU27" s="123"/>
      <c r="GV27" s="123">
        <v>14499</v>
      </c>
      <c r="GW27" s="123"/>
      <c r="GX27" s="123"/>
      <c r="GY27" s="123"/>
      <c r="GZ27" s="123"/>
      <c r="HA27" s="123">
        <v>463</v>
      </c>
      <c r="HB27" s="123"/>
      <c r="HC27" s="123"/>
      <c r="HD27" s="123"/>
      <c r="HE27" s="123"/>
      <c r="HF27" s="123">
        <v>214</v>
      </c>
      <c r="HG27" s="123"/>
      <c r="HH27" s="123"/>
      <c r="HI27" s="123"/>
      <c r="HJ27" s="123"/>
      <c r="HK27" s="123">
        <v>271</v>
      </c>
    </row>
    <row r="28" s="123" customFormat="1" ht="15" spans="1:219">
      <c r="A28" s="137" t="s">
        <v>405</v>
      </c>
      <c r="B28" s="138" t="s">
        <v>406</v>
      </c>
      <c r="C28" s="138" t="s">
        <v>406</v>
      </c>
      <c r="D28" s="138" t="s">
        <v>292</v>
      </c>
      <c r="E28" s="139" t="s">
        <v>293</v>
      </c>
      <c r="F28" s="138" t="s">
        <v>407</v>
      </c>
      <c r="G28" s="140"/>
      <c r="H28" s="141">
        <v>10701636</v>
      </c>
      <c r="I28" s="142">
        <v>26.4492622525395</v>
      </c>
      <c r="J28" s="139">
        <v>308683317392.68</v>
      </c>
      <c r="K28" s="126">
        <v>44.2547441915804</v>
      </c>
      <c r="L28" s="123">
        <v>1764</v>
      </c>
      <c r="M28" s="123">
        <v>1764</v>
      </c>
      <c r="N28" s="123"/>
      <c r="O28" s="123"/>
      <c r="P28" s="123"/>
      <c r="Q28" s="123"/>
      <c r="R28" s="123">
        <v>3369</v>
      </c>
      <c r="S28" s="123"/>
      <c r="T28" s="123"/>
      <c r="U28" s="123"/>
      <c r="V28" s="123"/>
      <c r="W28" s="123">
        <v>0</v>
      </c>
      <c r="X28" s="123"/>
      <c r="Y28" s="123"/>
      <c r="Z28" s="123"/>
      <c r="AA28" s="123"/>
      <c r="AB28" s="123">
        <v>0</v>
      </c>
      <c r="AC28" s="153"/>
      <c r="AD28" s="153"/>
      <c r="AE28" s="153"/>
      <c r="AF28" s="153"/>
      <c r="AG28" s="153"/>
      <c r="AH28" s="153"/>
      <c r="AI28" s="153">
        <v>46</v>
      </c>
      <c r="AJ28" s="167"/>
      <c r="AK28" s="167"/>
      <c r="AL28" s="167"/>
      <c r="AM28" s="167"/>
      <c r="AN28" s="167">
        <v>3955.5</v>
      </c>
      <c r="AO28" s="167"/>
      <c r="AP28" s="167"/>
      <c r="AQ28" s="167"/>
      <c r="AR28" s="167">
        <v>5013.5</v>
      </c>
      <c r="AS28" s="126"/>
      <c r="AT28" s="126"/>
      <c r="AU28" s="126"/>
      <c r="AV28" s="126"/>
      <c r="AW28" s="126">
        <v>87.4</v>
      </c>
      <c r="AX28" s="126"/>
      <c r="AY28" s="126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>
        <v>0</v>
      </c>
      <c r="BN28" s="123">
        <v>6</v>
      </c>
      <c r="BO28" s="123">
        <v>14</v>
      </c>
      <c r="BP28" s="139">
        <v>27</v>
      </c>
      <c r="BQ28" s="139">
        <v>0</v>
      </c>
      <c r="BR28" s="123">
        <f t="shared" si="0"/>
        <v>33</v>
      </c>
      <c r="BS28" s="139"/>
      <c r="BT28" s="139"/>
      <c r="BU28" s="139"/>
      <c r="BV28" s="139"/>
      <c r="BW28" s="139"/>
      <c r="BX28" s="139"/>
      <c r="BY28" s="139"/>
      <c r="BZ28" s="139">
        <v>88.24</v>
      </c>
      <c r="CA28" s="139">
        <v>70.62</v>
      </c>
      <c r="CB28" s="139">
        <v>80.19</v>
      </c>
      <c r="CC28" s="139">
        <v>75.47</v>
      </c>
      <c r="CD28" s="139">
        <v>83.49</v>
      </c>
      <c r="CE28" s="139">
        <v>74.06</v>
      </c>
      <c r="CF28" s="139">
        <v>78.6783333333333</v>
      </c>
      <c r="CG28" s="123">
        <v>0.89</v>
      </c>
      <c r="CH28" s="123">
        <v>89</v>
      </c>
      <c r="CI28" s="123">
        <v>83.8391666666666</v>
      </c>
      <c r="CJ28" s="123">
        <v>0.833022217638413</v>
      </c>
      <c r="CK28" s="123">
        <v>83.3022217638413</v>
      </c>
      <c r="CL28" s="123">
        <v>0.84153</v>
      </c>
      <c r="CM28" s="123">
        <v>84.153</v>
      </c>
      <c r="CN28" s="123">
        <v>0.6438</v>
      </c>
      <c r="CO28" s="123">
        <v>64.38</v>
      </c>
      <c r="CP28" s="123">
        <v>99.86</v>
      </c>
      <c r="CQ28" s="123"/>
      <c r="CR28" s="123">
        <v>82.9238054409603</v>
      </c>
      <c r="CS28" s="123">
        <v>80.6406926682794</v>
      </c>
      <c r="CT28" s="154"/>
      <c r="CU28" s="154"/>
      <c r="CV28" s="154"/>
      <c r="CW28" s="154">
        <v>1</v>
      </c>
      <c r="CX28" s="143">
        <v>100</v>
      </c>
      <c r="CY28" s="154">
        <v>1</v>
      </c>
      <c r="CZ28" s="143">
        <v>100</v>
      </c>
      <c r="DA28" s="154">
        <v>1</v>
      </c>
      <c r="DB28" s="143">
        <v>100</v>
      </c>
      <c r="DC28" s="154">
        <v>1</v>
      </c>
      <c r="DD28" s="123">
        <v>100</v>
      </c>
      <c r="DE28" s="155"/>
      <c r="DF28" s="144">
        <v>0</v>
      </c>
      <c r="DG28" s="144">
        <v>0</v>
      </c>
      <c r="DH28" s="144">
        <v>0</v>
      </c>
      <c r="DI28" s="144">
        <v>0</v>
      </c>
      <c r="DJ28" s="143">
        <v>0</v>
      </c>
      <c r="DK28" s="144"/>
      <c r="DL28" s="144">
        <v>0</v>
      </c>
      <c r="DM28" s="123">
        <v>0</v>
      </c>
      <c r="DN28" s="154"/>
      <c r="DO28" s="154">
        <v>0</v>
      </c>
      <c r="DP28" s="143">
        <v>0</v>
      </c>
      <c r="DQ28" s="154"/>
      <c r="DR28" s="154">
        <v>2</v>
      </c>
      <c r="DS28" s="145">
        <v>1</v>
      </c>
      <c r="DT28" s="143">
        <v>100</v>
      </c>
      <c r="DU28" s="154">
        <v>0</v>
      </c>
      <c r="DV28" s="146">
        <v>0</v>
      </c>
      <c r="DW28" s="146">
        <v>1</v>
      </c>
      <c r="DX28" s="147">
        <v>100</v>
      </c>
      <c r="DY28" s="147">
        <v>66.6666666666667</v>
      </c>
      <c r="DZ28" s="157">
        <v>4</v>
      </c>
      <c r="EA28" s="126"/>
      <c r="EB28" s="126"/>
      <c r="EC28" s="123">
        <v>2</v>
      </c>
      <c r="ED28" s="123">
        <v>100</v>
      </c>
      <c r="EE28" s="123"/>
      <c r="EF28" s="123"/>
      <c r="EG28" s="123"/>
      <c r="EH28">
        <v>492</v>
      </c>
      <c r="EI28" s="123"/>
      <c r="EJ28" s="123">
        <v>472</v>
      </c>
      <c r="EK28" s="123"/>
      <c r="EL28" s="123"/>
      <c r="EM28" s="150"/>
      <c r="EN28" s="150"/>
      <c r="EO28" s="150"/>
      <c r="EP28" s="150"/>
      <c r="EQ28" s="216" t="s">
        <v>408</v>
      </c>
      <c r="ER28" s="123">
        <v>64.7272727272727</v>
      </c>
      <c r="ES28" s="123"/>
      <c r="ET28" s="123"/>
      <c r="EU28" s="123">
        <v>75.98</v>
      </c>
      <c r="EV28" s="123">
        <v>25.3266666666667</v>
      </c>
      <c r="EW28" s="123"/>
      <c r="EX28" s="123"/>
      <c r="EY28" s="123"/>
      <c r="EZ28" s="123"/>
      <c r="FA28" s="123">
        <v>31</v>
      </c>
      <c r="FB28" s="123">
        <v>10.3333333333333</v>
      </c>
      <c r="FC28" s="123"/>
      <c r="FD28" s="123"/>
      <c r="FE28" s="123"/>
      <c r="FF28" s="123"/>
      <c r="FG28" s="123"/>
      <c r="FH28" s="123"/>
      <c r="FI28" s="123"/>
      <c r="FJ28" s="123"/>
      <c r="FK28" s="123"/>
      <c r="FL28" s="123"/>
      <c r="FM28" s="123"/>
      <c r="FN28" s="123"/>
      <c r="FO28" s="123"/>
      <c r="FP28" s="123"/>
      <c r="FQ28" s="123"/>
      <c r="FR28" s="123"/>
      <c r="FS28" s="123"/>
      <c r="FT28" s="149"/>
      <c r="FU28" s="150"/>
      <c r="FV28" s="150"/>
      <c r="FW28" s="123"/>
      <c r="FX28" s="151"/>
      <c r="FY28" s="151"/>
      <c r="FZ28" s="151"/>
      <c r="GA28" s="151">
        <v>2.871829</v>
      </c>
      <c r="GB28" s="123">
        <v>0.348210147609764</v>
      </c>
      <c r="GC28" s="123"/>
      <c r="GD28" s="123">
        <v>34.8210147609764</v>
      </c>
      <c r="GE28" s="123">
        <v>1</v>
      </c>
      <c r="GF28" s="123">
        <v>1</v>
      </c>
      <c r="GG28" s="126">
        <v>100</v>
      </c>
      <c r="GH28" s="123">
        <v>19.65</v>
      </c>
      <c r="GI28" s="123"/>
      <c r="GJ28" s="123"/>
      <c r="GK28" s="123">
        <v>72.21</v>
      </c>
      <c r="GL28" s="123">
        <v>72.21</v>
      </c>
      <c r="GM28" s="123">
        <v>97.54</v>
      </c>
      <c r="GN28" s="123">
        <v>97.54</v>
      </c>
      <c r="GO28" s="123"/>
      <c r="GP28" s="123"/>
      <c r="GQ28" s="123">
        <v>1</v>
      </c>
      <c r="GR28" s="123"/>
      <c r="GS28" s="123">
        <v>1</v>
      </c>
      <c r="GT28" s="123"/>
      <c r="GU28" s="123"/>
      <c r="GV28" s="123">
        <v>4338</v>
      </c>
      <c r="GW28" s="123"/>
      <c r="GX28" s="123"/>
      <c r="GY28" s="123"/>
      <c r="GZ28" s="123"/>
      <c r="HA28" s="123">
        <v>236</v>
      </c>
      <c r="HB28" s="123"/>
      <c r="HC28" s="123"/>
      <c r="HD28" s="123"/>
      <c r="HE28" s="123"/>
      <c r="HF28" s="123">
        <v>62</v>
      </c>
      <c r="HG28" s="123"/>
      <c r="HH28" s="123"/>
      <c r="HI28" s="123"/>
      <c r="HJ28" s="123"/>
      <c r="HK28" s="123">
        <v>170</v>
      </c>
    </row>
    <row r="29" s="123" customFormat="1" ht="15" spans="1:219">
      <c r="A29" s="137" t="s">
        <v>409</v>
      </c>
      <c r="B29" s="138" t="s">
        <v>410</v>
      </c>
      <c r="C29" s="138" t="s">
        <v>410</v>
      </c>
      <c r="D29" s="138" t="s">
        <v>292</v>
      </c>
      <c r="E29" s="139" t="s">
        <v>293</v>
      </c>
      <c r="F29" s="138" t="s">
        <v>411</v>
      </c>
      <c r="G29" s="140"/>
      <c r="H29" s="141">
        <v>9974400</v>
      </c>
      <c r="I29" s="142">
        <v>24.6518870022985</v>
      </c>
      <c r="J29" s="139">
        <v>540379921261.681</v>
      </c>
      <c r="K29" s="126">
        <v>77.4721983154026</v>
      </c>
      <c r="L29" s="123">
        <v>1089</v>
      </c>
      <c r="M29" s="123">
        <v>1089</v>
      </c>
      <c r="N29" s="123"/>
      <c r="O29" s="123"/>
      <c r="P29" s="123"/>
      <c r="Q29" s="123"/>
      <c r="R29" s="123">
        <v>1700</v>
      </c>
      <c r="S29" s="123"/>
      <c r="T29" s="123"/>
      <c r="U29" s="123"/>
      <c r="V29" s="123"/>
      <c r="W29" s="123">
        <v>9</v>
      </c>
      <c r="X29" s="123"/>
      <c r="Y29" s="123"/>
      <c r="Z29" s="123"/>
      <c r="AA29" s="123"/>
      <c r="AB29" s="123">
        <v>21</v>
      </c>
      <c r="AC29" s="153"/>
      <c r="AD29" s="153"/>
      <c r="AE29" s="153"/>
      <c r="AF29" s="153"/>
      <c r="AG29" s="153"/>
      <c r="AH29" s="153"/>
      <c r="AI29" s="153">
        <v>61</v>
      </c>
      <c r="AJ29" s="126"/>
      <c r="AK29" s="126"/>
      <c r="AL29" s="126"/>
      <c r="AM29" s="126"/>
      <c r="AN29" s="123">
        <v>41500</v>
      </c>
      <c r="AO29" s="167"/>
      <c r="AP29" s="167"/>
      <c r="AQ29" s="167"/>
      <c r="AR29" s="167">
        <v>52679.02</v>
      </c>
      <c r="AS29" s="126"/>
      <c r="AT29" s="126"/>
      <c r="AU29" s="126"/>
      <c r="AV29" s="126"/>
      <c r="AW29" s="126">
        <v>92.5</v>
      </c>
      <c r="AX29" s="126"/>
      <c r="AY29" s="126"/>
      <c r="AZ29" s="123">
        <v>1.36</v>
      </c>
      <c r="BA29" s="123"/>
      <c r="BB29" s="123"/>
      <c r="BC29" s="123"/>
      <c r="BD29" s="123"/>
      <c r="BE29" s="123">
        <v>36</v>
      </c>
      <c r="BF29" s="123"/>
      <c r="BG29" s="123"/>
      <c r="BH29" s="123"/>
      <c r="BI29" s="123"/>
      <c r="BJ29" s="123"/>
      <c r="BK29" s="123"/>
      <c r="BL29" s="123"/>
      <c r="BM29" s="123">
        <v>15</v>
      </c>
      <c r="BN29" s="123">
        <v>38</v>
      </c>
      <c r="BO29" s="123">
        <v>44</v>
      </c>
      <c r="BP29" s="139">
        <v>108</v>
      </c>
      <c r="BQ29" s="139">
        <v>0</v>
      </c>
      <c r="BR29" s="123">
        <f t="shared" si="0"/>
        <v>161</v>
      </c>
      <c r="BS29" s="139"/>
      <c r="BT29" s="139"/>
      <c r="BU29" s="139"/>
      <c r="BV29" s="139"/>
      <c r="BW29" s="139"/>
      <c r="BX29" s="139"/>
      <c r="BY29" s="139"/>
      <c r="BZ29" s="139">
        <v>69.12</v>
      </c>
      <c r="CA29" s="139">
        <v>9.95</v>
      </c>
      <c r="CB29" s="139">
        <v>83.49</v>
      </c>
      <c r="CC29" s="139">
        <v>84.43</v>
      </c>
      <c r="CD29" s="139">
        <v>77.36</v>
      </c>
      <c r="CE29" s="139">
        <v>78.77</v>
      </c>
      <c r="CF29" s="139">
        <v>67.1866666666667</v>
      </c>
      <c r="CG29" s="123">
        <v>0.919</v>
      </c>
      <c r="CH29" s="123">
        <v>91.9</v>
      </c>
      <c r="CI29" s="123">
        <v>79.5433333333334</v>
      </c>
      <c r="CJ29" s="123">
        <v>0.686203316635179</v>
      </c>
      <c r="CK29" s="123">
        <v>68.6203316635179</v>
      </c>
      <c r="CL29" s="123">
        <v>0.90143</v>
      </c>
      <c r="CM29" s="123">
        <v>90.143</v>
      </c>
      <c r="CN29" s="123">
        <v>0.6986</v>
      </c>
      <c r="CO29" s="123">
        <v>69.86</v>
      </c>
      <c r="CP29" s="123">
        <v>93.6</v>
      </c>
      <c r="CQ29" s="123"/>
      <c r="CR29" s="123">
        <v>80.5558329158795</v>
      </c>
      <c r="CS29" s="123">
        <v>74.4588521744596</v>
      </c>
      <c r="CT29" s="154"/>
      <c r="CU29" s="154"/>
      <c r="CV29" s="154"/>
      <c r="CW29" s="154">
        <v>1</v>
      </c>
      <c r="CX29" s="143">
        <v>100</v>
      </c>
      <c r="CY29" s="154">
        <v>1</v>
      </c>
      <c r="CZ29" s="143">
        <v>100</v>
      </c>
      <c r="DA29" s="154">
        <v>1</v>
      </c>
      <c r="DB29" s="143">
        <v>100</v>
      </c>
      <c r="DC29" s="154">
        <v>1</v>
      </c>
      <c r="DD29" s="123">
        <v>100</v>
      </c>
      <c r="DE29" s="155"/>
      <c r="DF29" s="144">
        <v>0</v>
      </c>
      <c r="DG29" s="144">
        <v>0</v>
      </c>
      <c r="DH29" s="144">
        <v>0</v>
      </c>
      <c r="DI29" s="144">
        <v>1</v>
      </c>
      <c r="DJ29" s="143">
        <v>100</v>
      </c>
      <c r="DK29" s="144"/>
      <c r="DL29" s="144">
        <v>0</v>
      </c>
      <c r="DM29" s="123">
        <v>0</v>
      </c>
      <c r="DN29" s="154"/>
      <c r="DO29" s="154">
        <v>0</v>
      </c>
      <c r="DP29" s="143">
        <v>0</v>
      </c>
      <c r="DQ29" s="154"/>
      <c r="DR29" s="154">
        <v>0</v>
      </c>
      <c r="DS29" s="145">
        <v>0</v>
      </c>
      <c r="DT29" s="143">
        <v>0</v>
      </c>
      <c r="DU29" s="154">
        <v>1</v>
      </c>
      <c r="DV29" s="146">
        <v>100</v>
      </c>
      <c r="DW29" s="146">
        <v>0</v>
      </c>
      <c r="DX29" s="147">
        <v>0</v>
      </c>
      <c r="DY29" s="147">
        <v>33.3333333333333</v>
      </c>
      <c r="DZ29" s="147">
        <v>3</v>
      </c>
      <c r="EA29" s="126"/>
      <c r="EB29" s="126"/>
      <c r="EC29" s="123">
        <v>2</v>
      </c>
      <c r="ED29" s="123">
        <v>100</v>
      </c>
      <c r="EE29" s="123"/>
      <c r="EF29" s="123"/>
      <c r="EG29" s="123"/>
      <c r="EH29">
        <v>463</v>
      </c>
      <c r="EI29" s="123"/>
      <c r="EJ29" s="123">
        <v>458</v>
      </c>
      <c r="EK29" s="123"/>
      <c r="EL29" s="123"/>
      <c r="EM29" s="150"/>
      <c r="EN29" s="150"/>
      <c r="EO29" s="150"/>
      <c r="EP29" s="150"/>
      <c r="EQ29" s="216" t="s">
        <v>412</v>
      </c>
      <c r="ER29" s="123">
        <v>77.5681818181818</v>
      </c>
      <c r="ES29" s="123"/>
      <c r="ET29" s="123"/>
      <c r="EU29" s="123"/>
      <c r="EV29" s="123"/>
      <c r="EW29" s="123"/>
      <c r="EX29" s="123"/>
      <c r="EY29" s="123"/>
      <c r="EZ29" s="123"/>
      <c r="FA29" s="123"/>
      <c r="FB29" s="123"/>
      <c r="FC29" s="123"/>
      <c r="FD29" s="123"/>
      <c r="FE29" s="123"/>
      <c r="FF29" s="123"/>
      <c r="FG29" s="123"/>
      <c r="FH29" s="123"/>
      <c r="FI29" s="123"/>
      <c r="FJ29" s="123"/>
      <c r="FK29" s="123"/>
      <c r="FL29" s="123"/>
      <c r="FM29" s="123"/>
      <c r="FN29" s="123"/>
      <c r="FO29" s="123"/>
      <c r="FP29" s="123"/>
      <c r="FQ29" s="123"/>
      <c r="FR29" s="123"/>
      <c r="FS29" s="123"/>
      <c r="FT29" s="149"/>
      <c r="FU29" s="150"/>
      <c r="FV29" s="150"/>
      <c r="FW29" s="123"/>
      <c r="FX29" s="151"/>
      <c r="FY29" s="151"/>
      <c r="FZ29" s="151"/>
      <c r="GA29" s="151">
        <v>3.763077</v>
      </c>
      <c r="GB29" s="123">
        <v>0.265739978214637</v>
      </c>
      <c r="GC29" s="123"/>
      <c r="GD29" s="123">
        <v>26.5739978214637</v>
      </c>
      <c r="GE29" s="123">
        <v>1</v>
      </c>
      <c r="GF29" s="123">
        <v>1</v>
      </c>
      <c r="GG29" s="126">
        <v>100</v>
      </c>
      <c r="GH29" s="123"/>
      <c r="GI29" s="123"/>
      <c r="GJ29" s="123"/>
      <c r="GK29" s="123">
        <v>86.1</v>
      </c>
      <c r="GL29" s="123">
        <v>86.1</v>
      </c>
      <c r="GM29" s="123">
        <v>98.82</v>
      </c>
      <c r="GN29" s="123">
        <v>98.82</v>
      </c>
      <c r="GO29" s="123"/>
      <c r="GP29" s="123"/>
      <c r="GQ29" s="123">
        <v>3</v>
      </c>
      <c r="GR29" s="123"/>
      <c r="GS29" s="123"/>
      <c r="GT29" s="123"/>
      <c r="GU29" s="123"/>
      <c r="GV29" s="123">
        <v>13983</v>
      </c>
      <c r="GW29" s="123"/>
      <c r="GX29" s="123"/>
      <c r="GY29" s="123"/>
      <c r="GZ29" s="123"/>
      <c r="HA29" s="123">
        <v>141</v>
      </c>
      <c r="HB29" s="123"/>
      <c r="HC29" s="123"/>
      <c r="HD29" s="123"/>
      <c r="HE29" s="123"/>
      <c r="HF29" s="123">
        <v>72</v>
      </c>
      <c r="HG29" s="123"/>
      <c r="HH29" s="123"/>
      <c r="HI29" s="123"/>
      <c r="HJ29" s="123"/>
      <c r="HK29" s="123">
        <v>27</v>
      </c>
    </row>
    <row r="30" s="123" customFormat="1" ht="15" spans="1:219">
      <c r="A30" s="137" t="s">
        <v>413</v>
      </c>
      <c r="B30" s="138" t="s">
        <v>414</v>
      </c>
      <c r="C30" s="138" t="s">
        <v>414</v>
      </c>
      <c r="D30" s="138" t="s">
        <v>292</v>
      </c>
      <c r="E30" s="139" t="s">
        <v>293</v>
      </c>
      <c r="F30" s="138" t="s">
        <v>415</v>
      </c>
      <c r="G30" s="140"/>
      <c r="H30" s="141">
        <v>11876844</v>
      </c>
      <c r="I30" s="142">
        <v>29.3538073700601</v>
      </c>
      <c r="J30" s="139">
        <v>664564181486.953</v>
      </c>
      <c r="K30" s="126">
        <v>95.2760197700582</v>
      </c>
      <c r="L30" s="123">
        <v>1318</v>
      </c>
      <c r="M30" s="123">
        <v>1318</v>
      </c>
      <c r="N30" s="123"/>
      <c r="O30" s="123"/>
      <c r="P30" s="123"/>
      <c r="Q30" s="123"/>
      <c r="R30" s="123">
        <v>2427</v>
      </c>
      <c r="S30" s="123"/>
      <c r="T30" s="123"/>
      <c r="U30" s="123"/>
      <c r="V30" s="123"/>
      <c r="W30" s="123">
        <v>0</v>
      </c>
      <c r="X30" s="123"/>
      <c r="Y30" s="123"/>
      <c r="Z30" s="123"/>
      <c r="AA30" s="123"/>
      <c r="AB30" s="123">
        <v>11</v>
      </c>
      <c r="AC30" s="153"/>
      <c r="AD30" s="153"/>
      <c r="AE30" s="153"/>
      <c r="AF30" s="153"/>
      <c r="AG30" s="153"/>
      <c r="AH30" s="153"/>
      <c r="AI30" s="153">
        <v>48</v>
      </c>
      <c r="AJ30" s="167"/>
      <c r="AK30" s="167"/>
      <c r="AL30" s="167"/>
      <c r="AM30" s="167"/>
      <c r="AN30" s="167">
        <v>2776</v>
      </c>
      <c r="AO30" s="167"/>
      <c r="AP30" s="167"/>
      <c r="AQ30" s="167"/>
      <c r="AR30" s="167">
        <v>3966.56</v>
      </c>
      <c r="AS30" s="126"/>
      <c r="AT30" s="126"/>
      <c r="AU30" s="126"/>
      <c r="AV30" s="126"/>
      <c r="AW30" s="126">
        <v>89.3</v>
      </c>
      <c r="AX30" s="126"/>
      <c r="AY30" s="126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>
        <v>1</v>
      </c>
      <c r="BN30" s="123">
        <v>10</v>
      </c>
      <c r="BO30" s="123">
        <v>10</v>
      </c>
      <c r="BP30" s="139">
        <v>15</v>
      </c>
      <c r="BQ30" s="139">
        <v>0</v>
      </c>
      <c r="BR30" s="123">
        <f t="shared" si="0"/>
        <v>26</v>
      </c>
      <c r="BS30" s="139"/>
      <c r="BT30" s="139"/>
      <c r="BU30" s="139"/>
      <c r="BV30" s="139"/>
      <c r="BW30" s="139"/>
      <c r="BX30" s="139"/>
      <c r="BY30" s="139"/>
      <c r="BZ30" s="139">
        <v>92.65</v>
      </c>
      <c r="CA30" s="139">
        <v>58.29</v>
      </c>
      <c r="CB30" s="139">
        <v>80.66</v>
      </c>
      <c r="CC30" s="139">
        <v>85.85</v>
      </c>
      <c r="CD30" s="139">
        <v>88.21</v>
      </c>
      <c r="CE30" s="139">
        <v>89.15</v>
      </c>
      <c r="CF30" s="139">
        <v>82.4683333333333</v>
      </c>
      <c r="CG30" s="123">
        <v>0.951</v>
      </c>
      <c r="CH30" s="123">
        <v>95.1</v>
      </c>
      <c r="CI30" s="123">
        <v>88.7841666666666</v>
      </c>
      <c r="CJ30" s="123">
        <v>0.803504601508526</v>
      </c>
      <c r="CK30" s="123">
        <v>80.3504601508526</v>
      </c>
      <c r="CL30" s="123">
        <v>0.81212</v>
      </c>
      <c r="CM30" s="123">
        <v>81.212</v>
      </c>
      <c r="CN30" s="123">
        <v>0.5068</v>
      </c>
      <c r="CO30" s="123">
        <v>50.68</v>
      </c>
      <c r="CP30" s="123">
        <v>96.81</v>
      </c>
      <c r="CQ30" s="123"/>
      <c r="CR30" s="123">
        <v>77.2631150377131</v>
      </c>
      <c r="CS30" s="123">
        <v>80.6738551056786</v>
      </c>
      <c r="CT30" s="154"/>
      <c r="CU30" s="154"/>
      <c r="CV30" s="154"/>
      <c r="CW30" s="154">
        <v>1</v>
      </c>
      <c r="CX30" s="143">
        <v>100</v>
      </c>
      <c r="CY30" s="154">
        <v>1</v>
      </c>
      <c r="CZ30" s="143">
        <v>100</v>
      </c>
      <c r="DA30" s="154">
        <v>1</v>
      </c>
      <c r="DB30" s="143">
        <v>100</v>
      </c>
      <c r="DC30" s="154">
        <v>1</v>
      </c>
      <c r="DD30" s="123">
        <v>100</v>
      </c>
      <c r="DE30" s="155"/>
      <c r="DF30" s="144">
        <v>1</v>
      </c>
      <c r="DG30" s="144">
        <v>100</v>
      </c>
      <c r="DH30" s="144">
        <v>100</v>
      </c>
      <c r="DI30" s="144">
        <v>0</v>
      </c>
      <c r="DJ30" s="143">
        <v>0</v>
      </c>
      <c r="DK30" s="144"/>
      <c r="DL30" s="144">
        <v>0</v>
      </c>
      <c r="DM30" s="123">
        <v>0</v>
      </c>
      <c r="DN30" s="154"/>
      <c r="DO30" s="154">
        <v>0</v>
      </c>
      <c r="DP30" s="143">
        <v>0</v>
      </c>
      <c r="DQ30" s="154"/>
      <c r="DR30" s="154">
        <v>2</v>
      </c>
      <c r="DS30" s="145">
        <v>1</v>
      </c>
      <c r="DT30" s="143">
        <v>100</v>
      </c>
      <c r="DU30" s="154">
        <v>0</v>
      </c>
      <c r="DV30" s="146">
        <v>0</v>
      </c>
      <c r="DW30" s="146">
        <v>1</v>
      </c>
      <c r="DX30" s="147">
        <v>100</v>
      </c>
      <c r="DY30" s="147">
        <v>66.6666666666667</v>
      </c>
      <c r="DZ30" s="157">
        <v>4</v>
      </c>
      <c r="EA30" s="126"/>
      <c r="EB30" s="126"/>
      <c r="EC30" s="123">
        <v>2</v>
      </c>
      <c r="ED30" s="123">
        <v>100</v>
      </c>
      <c r="EE30" s="123"/>
      <c r="EF30" s="123"/>
      <c r="EG30" s="123"/>
      <c r="EH30">
        <v>508</v>
      </c>
      <c r="EI30" s="123"/>
      <c r="EJ30" s="123">
        <v>489</v>
      </c>
      <c r="EK30" s="123"/>
      <c r="EL30" s="123"/>
      <c r="EM30" s="150"/>
      <c r="EN30" s="150"/>
      <c r="EO30" s="150"/>
      <c r="EP30" s="150"/>
      <c r="EQ30" s="216" t="s">
        <v>416</v>
      </c>
      <c r="ER30" s="123">
        <v>78.4090909090909</v>
      </c>
      <c r="ES30" s="123">
        <v>0.59</v>
      </c>
      <c r="ET30" s="123">
        <v>0.35</v>
      </c>
      <c r="EU30" s="123">
        <v>74.58</v>
      </c>
      <c r="EV30" s="123">
        <v>56.1933333333333</v>
      </c>
      <c r="EW30" s="123"/>
      <c r="EX30" s="123"/>
      <c r="EY30" s="123">
        <v>0.41</v>
      </c>
      <c r="EZ30" s="123">
        <v>0.32</v>
      </c>
      <c r="FA30" s="123">
        <v>22.8</v>
      </c>
      <c r="FB30" s="123">
        <v>31.9333333333333</v>
      </c>
      <c r="FC30" s="123">
        <v>0.58</v>
      </c>
      <c r="FD30" s="123">
        <v>0.17</v>
      </c>
      <c r="FE30" s="123">
        <v>0.22</v>
      </c>
      <c r="FF30" s="123">
        <v>0.35</v>
      </c>
      <c r="FG30" s="123">
        <v>0.37</v>
      </c>
      <c r="FH30" s="123">
        <v>0.43</v>
      </c>
      <c r="FI30" s="123">
        <v>0.29</v>
      </c>
      <c r="FJ30" s="123">
        <v>0.29</v>
      </c>
      <c r="FK30" s="123">
        <v>0.39</v>
      </c>
      <c r="FL30" s="123">
        <v>0.27</v>
      </c>
      <c r="FM30" s="123">
        <v>0.41</v>
      </c>
      <c r="FN30" s="123">
        <v>0.21</v>
      </c>
      <c r="FO30" s="123">
        <v>0.23</v>
      </c>
      <c r="FP30" s="123">
        <v>0.2</v>
      </c>
      <c r="FQ30" s="123">
        <v>0.32</v>
      </c>
      <c r="FR30" s="123">
        <v>31.5333333333333</v>
      </c>
      <c r="FS30" s="123">
        <v>0.41</v>
      </c>
      <c r="FT30" s="149">
        <v>0.39</v>
      </c>
      <c r="FU30" s="150">
        <v>40</v>
      </c>
      <c r="FV30" s="150"/>
      <c r="FW30" s="123"/>
      <c r="FX30" s="151"/>
      <c r="FY30" s="151"/>
      <c r="FZ30" s="151"/>
      <c r="GA30" s="151">
        <v>4.260465</v>
      </c>
      <c r="GB30" s="123">
        <v>0.234716163611249</v>
      </c>
      <c r="GC30" s="123"/>
      <c r="GD30" s="123">
        <v>23.4716163611249</v>
      </c>
      <c r="GE30" s="123">
        <v>1</v>
      </c>
      <c r="GF30" s="123">
        <v>1</v>
      </c>
      <c r="GG30" s="126">
        <v>100</v>
      </c>
      <c r="GH30" s="123">
        <v>4.73</v>
      </c>
      <c r="GI30" s="123"/>
      <c r="GJ30" s="123"/>
      <c r="GK30" s="123">
        <v>90.08</v>
      </c>
      <c r="GL30" s="123">
        <v>90.08</v>
      </c>
      <c r="GM30" s="123">
        <v>97.68</v>
      </c>
      <c r="GN30" s="123">
        <v>97.68</v>
      </c>
      <c r="GO30" s="123"/>
      <c r="GP30" s="123"/>
      <c r="GQ30" s="123"/>
      <c r="GR30" s="123"/>
      <c r="GS30" s="123"/>
      <c r="GT30" s="123"/>
      <c r="GU30" s="123"/>
      <c r="GV30" s="123">
        <v>15317</v>
      </c>
      <c r="GW30" s="123"/>
      <c r="GX30" s="123"/>
      <c r="GY30" s="123"/>
      <c r="GZ30" s="123"/>
      <c r="HA30" s="123">
        <v>186</v>
      </c>
      <c r="HB30" s="123"/>
      <c r="HC30" s="123"/>
      <c r="HD30" s="123"/>
      <c r="HE30" s="123"/>
      <c r="HF30" s="123">
        <v>51</v>
      </c>
      <c r="HG30" s="123"/>
      <c r="HH30" s="123"/>
      <c r="HI30" s="123"/>
      <c r="HJ30" s="123"/>
      <c r="HK30" s="123">
        <v>49</v>
      </c>
    </row>
    <row r="31" s="123" customFormat="1" ht="15" spans="1:219">
      <c r="A31" s="137" t="s">
        <v>417</v>
      </c>
      <c r="B31" s="138" t="s">
        <v>418</v>
      </c>
      <c r="C31" s="138" t="s">
        <v>418</v>
      </c>
      <c r="D31" s="138" t="s">
        <v>292</v>
      </c>
      <c r="E31" s="139" t="s">
        <v>293</v>
      </c>
      <c r="F31" s="138" t="s">
        <v>419</v>
      </c>
      <c r="G31" s="140"/>
      <c r="H31" s="141">
        <v>19764771</v>
      </c>
      <c r="I31" s="142">
        <v>48.8489434270038</v>
      </c>
      <c r="J31" s="139">
        <v>330267137371.592</v>
      </c>
      <c r="K31" s="126">
        <v>47.3491337423729</v>
      </c>
      <c r="L31" s="123">
        <v>293</v>
      </c>
      <c r="M31" s="123">
        <v>293</v>
      </c>
      <c r="N31" s="123"/>
      <c r="O31" s="123"/>
      <c r="P31" s="123"/>
      <c r="Q31" s="123"/>
      <c r="R31" s="123">
        <v>390</v>
      </c>
      <c r="S31" s="123"/>
      <c r="T31" s="123"/>
      <c r="U31" s="123"/>
      <c r="V31" s="123"/>
      <c r="W31" s="123">
        <v>0</v>
      </c>
      <c r="X31" s="123"/>
      <c r="Y31" s="123"/>
      <c r="Z31" s="123"/>
      <c r="AA31" s="123"/>
      <c r="AB31" s="123">
        <v>0</v>
      </c>
      <c r="AC31" s="153"/>
      <c r="AD31" s="153"/>
      <c r="AE31" s="153"/>
      <c r="AF31" s="153"/>
      <c r="AG31" s="153"/>
      <c r="AH31" s="153"/>
      <c r="AI31" s="153">
        <v>66</v>
      </c>
      <c r="AJ31" s="126"/>
      <c r="AK31" s="126"/>
      <c r="AL31" s="126"/>
      <c r="AM31" s="126"/>
      <c r="AN31" s="123"/>
      <c r="AO31" s="123"/>
      <c r="AP31" s="123"/>
      <c r="AQ31" s="123"/>
      <c r="AR31" s="123"/>
      <c r="AS31" s="126"/>
      <c r="AT31" s="126"/>
      <c r="AU31" s="126"/>
      <c r="AV31" s="126"/>
      <c r="AW31" s="126">
        <v>91.7</v>
      </c>
      <c r="AX31" s="126"/>
      <c r="AY31" s="126"/>
      <c r="AZ31" s="123"/>
      <c r="BA31" s="123"/>
      <c r="BB31" s="123"/>
      <c r="BC31" s="123"/>
      <c r="BD31" s="123"/>
      <c r="BE31" s="123"/>
      <c r="BF31" s="123"/>
      <c r="BG31" s="123"/>
      <c r="BH31" s="123"/>
      <c r="BI31" s="123"/>
      <c r="BJ31" s="123"/>
      <c r="BK31" s="123"/>
      <c r="BL31" s="123"/>
      <c r="BM31" s="123">
        <v>0</v>
      </c>
      <c r="BN31" s="123">
        <v>1</v>
      </c>
      <c r="BO31" s="123">
        <v>6</v>
      </c>
      <c r="BP31" s="139">
        <v>15</v>
      </c>
      <c r="BQ31" s="139">
        <v>0</v>
      </c>
      <c r="BR31" s="123">
        <f t="shared" si="0"/>
        <v>16</v>
      </c>
      <c r="BS31" s="139"/>
      <c r="BT31" s="139"/>
      <c r="BU31" s="139"/>
      <c r="BV31" s="139"/>
      <c r="BW31" s="139"/>
      <c r="BX31" s="139"/>
      <c r="BY31" s="139"/>
      <c r="BZ31" s="139">
        <v>79.9</v>
      </c>
      <c r="CA31" s="139">
        <v>50.24</v>
      </c>
      <c r="CB31" s="139">
        <v>75.94</v>
      </c>
      <c r="CC31" s="139">
        <v>76.89</v>
      </c>
      <c r="CD31" s="139">
        <v>71.23</v>
      </c>
      <c r="CE31" s="139">
        <v>80.66</v>
      </c>
      <c r="CF31" s="139">
        <v>72.4766666666667</v>
      </c>
      <c r="CG31" s="123">
        <v>0.878</v>
      </c>
      <c r="CH31" s="123">
        <v>87.8</v>
      </c>
      <c r="CI31" s="123">
        <v>80.1383333333333</v>
      </c>
      <c r="CJ31" s="123">
        <v>0.754277277708246</v>
      </c>
      <c r="CK31" s="123">
        <v>75.4277277708246</v>
      </c>
      <c r="CL31" s="123">
        <v>0.88266</v>
      </c>
      <c r="CM31" s="123">
        <v>88.266</v>
      </c>
      <c r="CN31" s="123">
        <v>0.8356</v>
      </c>
      <c r="CO31" s="123">
        <v>83.56</v>
      </c>
      <c r="CP31" s="123">
        <v>70.23</v>
      </c>
      <c r="CQ31" s="123">
        <v>66.42</v>
      </c>
      <c r="CR31" s="123">
        <v>79.3709319427062</v>
      </c>
      <c r="CS31" s="123">
        <v>78.0518325693914</v>
      </c>
      <c r="CT31" s="154"/>
      <c r="CU31" s="154"/>
      <c r="CV31" s="154"/>
      <c r="CW31" s="154">
        <v>1</v>
      </c>
      <c r="CX31" s="143">
        <v>100</v>
      </c>
      <c r="CY31" s="154">
        <v>1</v>
      </c>
      <c r="CZ31" s="143">
        <v>100</v>
      </c>
      <c r="DA31" s="154">
        <v>1</v>
      </c>
      <c r="DB31" s="143">
        <v>100</v>
      </c>
      <c r="DC31" s="154">
        <v>1</v>
      </c>
      <c r="DD31" s="123">
        <v>100</v>
      </c>
      <c r="DE31" s="155"/>
      <c r="DF31" s="144">
        <v>0</v>
      </c>
      <c r="DG31" s="144">
        <v>0</v>
      </c>
      <c r="DH31" s="144">
        <v>0</v>
      </c>
      <c r="DI31" s="144">
        <v>0</v>
      </c>
      <c r="DJ31" s="143">
        <v>0</v>
      </c>
      <c r="DK31" s="144"/>
      <c r="DL31" s="144">
        <v>0</v>
      </c>
      <c r="DM31" s="123">
        <v>0</v>
      </c>
      <c r="DN31" s="154"/>
      <c r="DO31" s="154">
        <v>0</v>
      </c>
      <c r="DP31" s="143">
        <v>0</v>
      </c>
      <c r="DQ31" s="154"/>
      <c r="DR31" s="154">
        <v>1</v>
      </c>
      <c r="DS31" s="145">
        <v>1</v>
      </c>
      <c r="DT31" s="143">
        <v>100</v>
      </c>
      <c r="DU31" s="154">
        <v>0</v>
      </c>
      <c r="DV31" s="146">
        <v>0</v>
      </c>
      <c r="DW31" s="146">
        <v>0</v>
      </c>
      <c r="DX31" s="147">
        <v>0</v>
      </c>
      <c r="DY31" s="147">
        <v>33.3333333333333</v>
      </c>
      <c r="DZ31" s="157">
        <v>6</v>
      </c>
      <c r="EA31" s="126"/>
      <c r="EB31" s="126"/>
      <c r="EC31" s="123">
        <v>0</v>
      </c>
      <c r="ED31" s="123">
        <v>0</v>
      </c>
      <c r="EE31" s="123"/>
      <c r="EF31" s="123"/>
      <c r="EG31" s="123"/>
      <c r="EH31">
        <v>417</v>
      </c>
      <c r="EI31" s="123"/>
      <c r="EJ31" s="123">
        <v>412</v>
      </c>
      <c r="EK31" s="123"/>
      <c r="EL31" s="123">
        <v>1.8</v>
      </c>
      <c r="EM31" s="150"/>
      <c r="EN31" s="150"/>
      <c r="EO31" s="150"/>
      <c r="EP31" s="150"/>
      <c r="EQ31" s="216" t="s">
        <v>420</v>
      </c>
      <c r="ER31" s="123">
        <v>70.2727272727273</v>
      </c>
      <c r="ES31" s="123">
        <v>0.75</v>
      </c>
      <c r="ET31" s="123">
        <v>0.6</v>
      </c>
      <c r="EU31" s="123"/>
      <c r="EV31" s="123">
        <v>67.5</v>
      </c>
      <c r="EW31" s="123"/>
      <c r="EX31" s="123"/>
      <c r="EY31" s="123">
        <v>0.63</v>
      </c>
      <c r="EZ31" s="123">
        <v>0.53</v>
      </c>
      <c r="FA31" s="123"/>
      <c r="FB31" s="123">
        <v>58</v>
      </c>
      <c r="FC31" s="123">
        <v>0.73</v>
      </c>
      <c r="FD31" s="123">
        <v>0.37</v>
      </c>
      <c r="FE31" s="123">
        <v>0.3</v>
      </c>
      <c r="FF31" s="123">
        <v>0.59</v>
      </c>
      <c r="FG31" s="123">
        <v>0.27</v>
      </c>
      <c r="FH31" s="123">
        <v>0.63</v>
      </c>
      <c r="FI31" s="123">
        <v>0.29</v>
      </c>
      <c r="FJ31" s="123">
        <v>0.48</v>
      </c>
      <c r="FK31" s="123">
        <v>0.38</v>
      </c>
      <c r="FL31" s="123">
        <v>0.44</v>
      </c>
      <c r="FM31" s="123">
        <v>0.36</v>
      </c>
      <c r="FN31" s="123">
        <v>0.35</v>
      </c>
      <c r="FO31" s="123">
        <v>0.27</v>
      </c>
      <c r="FP31" s="123">
        <v>0.42</v>
      </c>
      <c r="FQ31" s="123">
        <v>0.36</v>
      </c>
      <c r="FR31" s="123">
        <v>41.6</v>
      </c>
      <c r="FS31" s="123">
        <v>0.5</v>
      </c>
      <c r="FT31" s="149">
        <v>0.63</v>
      </c>
      <c r="FU31" s="150">
        <v>56.5</v>
      </c>
      <c r="FV31" s="150"/>
      <c r="FW31" s="123"/>
      <c r="FX31" s="151"/>
      <c r="FY31" s="151"/>
      <c r="FZ31" s="151"/>
      <c r="GA31" s="151">
        <v>5.071429</v>
      </c>
      <c r="GB31" s="123">
        <v>0.19718308192819</v>
      </c>
      <c r="GC31" s="123"/>
      <c r="GD31" s="123">
        <v>19.718308192819</v>
      </c>
      <c r="GE31" s="123">
        <v>1</v>
      </c>
      <c r="GF31" s="123">
        <v>1</v>
      </c>
      <c r="GG31" s="126">
        <v>100</v>
      </c>
      <c r="GH31" s="123">
        <v>15.21</v>
      </c>
      <c r="GI31" s="123"/>
      <c r="GJ31" s="123"/>
      <c r="GK31" s="123">
        <v>88.86</v>
      </c>
      <c r="GL31" s="123">
        <v>88.86</v>
      </c>
      <c r="GM31" s="123"/>
      <c r="GN31" s="123"/>
      <c r="GO31" s="123"/>
      <c r="GP31" s="123"/>
      <c r="GQ31" s="123"/>
      <c r="GR31" s="123"/>
      <c r="GS31" s="123"/>
      <c r="GT31" s="123"/>
      <c r="GU31" s="123"/>
      <c r="GV31" s="123">
        <v>71</v>
      </c>
      <c r="GW31" s="123"/>
      <c r="GX31" s="123"/>
      <c r="GY31" s="123"/>
      <c r="GZ31" s="123"/>
      <c r="HA31" s="123">
        <v>25</v>
      </c>
      <c r="HB31" s="123"/>
      <c r="HC31" s="123"/>
      <c r="HD31" s="123"/>
      <c r="HE31" s="123"/>
      <c r="HF31" s="123">
        <v>13</v>
      </c>
      <c r="HG31" s="123"/>
      <c r="HH31" s="123"/>
      <c r="HI31" s="123"/>
      <c r="HJ31" s="123"/>
      <c r="HK31" s="123">
        <v>25</v>
      </c>
    </row>
    <row r="32" s="123" customFormat="1" ht="15" spans="1:219">
      <c r="A32" s="137" t="s">
        <v>421</v>
      </c>
      <c r="B32" s="138" t="s">
        <v>422</v>
      </c>
      <c r="C32" s="138" t="s">
        <v>422</v>
      </c>
      <c r="D32" s="138" t="s">
        <v>324</v>
      </c>
      <c r="E32" s="139" t="s">
        <v>325</v>
      </c>
      <c r="F32" s="138" t="s">
        <v>423</v>
      </c>
      <c r="G32" s="140"/>
      <c r="H32" s="141">
        <v>52886363</v>
      </c>
      <c r="I32" s="142">
        <v>130.709480734534</v>
      </c>
      <c r="J32" s="139">
        <v>418542042920.189</v>
      </c>
      <c r="K32" s="126">
        <v>60.00476863896</v>
      </c>
      <c r="L32" s="123">
        <v>139</v>
      </c>
      <c r="M32" s="123">
        <v>139</v>
      </c>
      <c r="N32" s="123"/>
      <c r="O32" s="123"/>
      <c r="P32" s="123"/>
      <c r="Q32" s="123"/>
      <c r="R32" s="123">
        <v>168</v>
      </c>
      <c r="S32" s="123"/>
      <c r="T32" s="123"/>
      <c r="U32" s="123"/>
      <c r="V32" s="123"/>
      <c r="W32" s="123">
        <v>0</v>
      </c>
      <c r="X32" s="123"/>
      <c r="Y32" s="123"/>
      <c r="Z32" s="123"/>
      <c r="AA32" s="123"/>
      <c r="AB32" s="123">
        <v>0</v>
      </c>
      <c r="AC32" s="153"/>
      <c r="AD32" s="153"/>
      <c r="AE32" s="153"/>
      <c r="AF32" s="153"/>
      <c r="AG32" s="153"/>
      <c r="AH32" s="153"/>
      <c r="AI32" s="153">
        <v>42</v>
      </c>
      <c r="AJ32" s="126"/>
      <c r="AK32" s="126"/>
      <c r="AL32" s="126"/>
      <c r="AM32" s="126"/>
      <c r="AN32" s="123"/>
      <c r="AO32" s="123"/>
      <c r="AP32" s="123"/>
      <c r="AQ32" s="123"/>
      <c r="AR32" s="123"/>
      <c r="AS32" s="126"/>
      <c r="AT32" s="126"/>
      <c r="AU32" s="126"/>
      <c r="AV32" s="126"/>
      <c r="AW32" s="126">
        <v>73.2</v>
      </c>
      <c r="AX32" s="126"/>
      <c r="AY32" s="126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>
        <v>0</v>
      </c>
      <c r="BN32" s="123">
        <v>4</v>
      </c>
      <c r="BO32" s="123">
        <v>8</v>
      </c>
      <c r="BP32" s="139">
        <v>24</v>
      </c>
      <c r="BQ32" s="139">
        <v>0</v>
      </c>
      <c r="BR32" s="123">
        <f t="shared" si="0"/>
        <v>28</v>
      </c>
      <c r="BS32" s="139"/>
      <c r="BT32" s="139"/>
      <c r="BU32" s="139"/>
      <c r="BV32" s="139"/>
      <c r="BW32" s="139"/>
      <c r="BX32" s="139"/>
      <c r="BY32" s="139"/>
      <c r="BZ32" s="139">
        <v>55.39</v>
      </c>
      <c r="CA32" s="139">
        <v>18.69</v>
      </c>
      <c r="CB32" s="139">
        <v>48.11</v>
      </c>
      <c r="CC32" s="139">
        <v>54.25</v>
      </c>
      <c r="CD32" s="139">
        <v>35.85</v>
      </c>
      <c r="CE32" s="139">
        <v>44.81</v>
      </c>
      <c r="CF32" s="139">
        <v>42.85</v>
      </c>
      <c r="CG32" s="123">
        <v>0.788</v>
      </c>
      <c r="CH32" s="123">
        <v>78.8</v>
      </c>
      <c r="CI32" s="123">
        <v>60.825</v>
      </c>
      <c r="CJ32" s="123">
        <v>0.863804323948399</v>
      </c>
      <c r="CK32" s="123">
        <v>86.3804323948399</v>
      </c>
      <c r="CL32" s="123">
        <v>0.7793</v>
      </c>
      <c r="CM32" s="123">
        <v>77.93</v>
      </c>
      <c r="CN32" s="123">
        <v>0.7397</v>
      </c>
      <c r="CO32" s="123">
        <v>73.97</v>
      </c>
      <c r="CP32" s="123">
        <v>65.87</v>
      </c>
      <c r="CQ32" s="123">
        <v>61.22</v>
      </c>
      <c r="CR32" s="123">
        <v>76.03760809871</v>
      </c>
      <c r="CS32" s="123">
        <v>70.455097283762</v>
      </c>
      <c r="CT32" s="154"/>
      <c r="CU32" s="154"/>
      <c r="CV32" s="154"/>
      <c r="CW32" s="154">
        <v>1</v>
      </c>
      <c r="CX32" s="143">
        <v>100</v>
      </c>
      <c r="CY32" s="154">
        <v>1</v>
      </c>
      <c r="CZ32" s="143">
        <v>100</v>
      </c>
      <c r="DA32" s="154">
        <v>1</v>
      </c>
      <c r="DB32" s="143">
        <v>100</v>
      </c>
      <c r="DC32" s="154">
        <v>1</v>
      </c>
      <c r="DD32" s="123">
        <v>100</v>
      </c>
      <c r="DE32" s="155"/>
      <c r="DF32" s="144">
        <v>0</v>
      </c>
      <c r="DG32" s="144">
        <v>0</v>
      </c>
      <c r="DH32" s="144">
        <v>0</v>
      </c>
      <c r="DI32" s="144">
        <v>0</v>
      </c>
      <c r="DJ32" s="143">
        <v>0</v>
      </c>
      <c r="DK32" s="144"/>
      <c r="DL32" s="144">
        <v>0</v>
      </c>
      <c r="DM32" s="123">
        <v>0</v>
      </c>
      <c r="DN32" s="154"/>
      <c r="DO32" s="154">
        <v>0</v>
      </c>
      <c r="DP32" s="143">
        <v>0</v>
      </c>
      <c r="DQ32" s="154"/>
      <c r="DR32" s="154">
        <v>1</v>
      </c>
      <c r="DS32" s="145">
        <v>1</v>
      </c>
      <c r="DT32" s="143">
        <v>100</v>
      </c>
      <c r="DU32" s="154">
        <v>0</v>
      </c>
      <c r="DV32" s="146">
        <v>0</v>
      </c>
      <c r="DW32" s="146">
        <v>0</v>
      </c>
      <c r="DX32" s="147">
        <v>0</v>
      </c>
      <c r="DY32" s="147">
        <v>33.3333333333333</v>
      </c>
      <c r="DZ32" s="157">
        <v>3</v>
      </c>
      <c r="EA32" s="126"/>
      <c r="EB32" s="126"/>
      <c r="EC32" s="123">
        <v>1</v>
      </c>
      <c r="ED32" s="123">
        <v>50</v>
      </c>
      <c r="EE32" s="123"/>
      <c r="EF32" s="123"/>
      <c r="EG32" s="123"/>
      <c r="EH32">
        <v>391</v>
      </c>
      <c r="EI32" s="123"/>
      <c r="EJ32" s="123">
        <v>383</v>
      </c>
      <c r="EK32" s="123"/>
      <c r="EL32" s="123">
        <v>3.8</v>
      </c>
      <c r="EM32" s="150"/>
      <c r="EN32" s="150"/>
      <c r="EO32" s="150"/>
      <c r="EP32" s="150"/>
      <c r="EQ32" s="216" t="s">
        <v>424</v>
      </c>
      <c r="ER32" s="123">
        <v>75.3181818181818</v>
      </c>
      <c r="ES32" s="123">
        <v>0.73</v>
      </c>
      <c r="ET32" s="123">
        <v>0.54</v>
      </c>
      <c r="EU32" s="123">
        <v>68.19</v>
      </c>
      <c r="EV32" s="123">
        <v>65.0633333333333</v>
      </c>
      <c r="EW32" s="123"/>
      <c r="EX32" s="123"/>
      <c r="EY32" s="123">
        <v>0.58</v>
      </c>
      <c r="EZ32" s="123">
        <v>0.6</v>
      </c>
      <c r="FA32" s="123">
        <v>37</v>
      </c>
      <c r="FB32" s="123">
        <v>51.6666666666667</v>
      </c>
      <c r="FC32" s="123">
        <v>0.72</v>
      </c>
      <c r="FD32" s="123">
        <v>0.34</v>
      </c>
      <c r="FE32" s="123">
        <v>0.21</v>
      </c>
      <c r="FF32" s="123">
        <v>0.65</v>
      </c>
      <c r="FG32" s="123">
        <v>0.23</v>
      </c>
      <c r="FH32" s="123">
        <v>0.66</v>
      </c>
      <c r="FI32" s="123">
        <v>0.22</v>
      </c>
      <c r="FJ32" s="123">
        <v>0.47</v>
      </c>
      <c r="FK32" s="123">
        <v>0.31</v>
      </c>
      <c r="FL32" s="123">
        <v>0.45</v>
      </c>
      <c r="FM32" s="123">
        <v>0.33</v>
      </c>
      <c r="FN32" s="123">
        <v>0.39</v>
      </c>
      <c r="FO32" s="123">
        <v>0.2</v>
      </c>
      <c r="FP32" s="123">
        <v>0.38</v>
      </c>
      <c r="FQ32" s="123">
        <v>0.33</v>
      </c>
      <c r="FR32" s="123">
        <v>39.2666666666667</v>
      </c>
      <c r="FS32" s="123">
        <v>0.52</v>
      </c>
      <c r="FT32" s="149">
        <v>0.64</v>
      </c>
      <c r="FU32" s="150">
        <v>58</v>
      </c>
      <c r="FV32" s="150"/>
      <c r="FW32" s="123"/>
      <c r="FX32" s="151"/>
      <c r="FY32" s="151"/>
      <c r="FZ32" s="151"/>
      <c r="GA32" s="151">
        <v>6.526316</v>
      </c>
      <c r="GB32" s="123">
        <v>0.153225801508845</v>
      </c>
      <c r="GC32" s="123"/>
      <c r="GD32" s="123">
        <v>15.3225801508845</v>
      </c>
      <c r="GE32" s="123">
        <v>1</v>
      </c>
      <c r="GF32" s="123">
        <v>1</v>
      </c>
      <c r="GG32" s="126">
        <v>100</v>
      </c>
      <c r="GH32" s="123">
        <v>9.7</v>
      </c>
      <c r="GI32" s="123"/>
      <c r="GJ32" s="123"/>
      <c r="GK32" s="123">
        <v>61.13</v>
      </c>
      <c r="GL32" s="123">
        <v>61.13</v>
      </c>
      <c r="GM32" s="123"/>
      <c r="GN32" s="123"/>
      <c r="GO32" s="123"/>
      <c r="GP32" s="123"/>
      <c r="GQ32" s="123"/>
      <c r="GR32" s="123"/>
      <c r="GS32" s="123"/>
      <c r="GT32" s="123"/>
      <c r="GU32" s="123"/>
      <c r="GV32" s="123">
        <v>481</v>
      </c>
      <c r="GW32" s="123"/>
      <c r="GX32" s="123"/>
      <c r="GY32" s="123"/>
      <c r="GZ32" s="123"/>
      <c r="HA32" s="123">
        <v>14</v>
      </c>
      <c r="HB32" s="123"/>
      <c r="HC32" s="123"/>
      <c r="HD32" s="123"/>
      <c r="HE32" s="123"/>
      <c r="HF32" s="123">
        <v>6</v>
      </c>
      <c r="HG32" s="123"/>
      <c r="HH32" s="123"/>
      <c r="HI32" s="123"/>
      <c r="HJ32" s="123"/>
      <c r="HK32" s="123">
        <v>17</v>
      </c>
    </row>
    <row r="33" s="123" customFormat="1" ht="15" spans="1:219">
      <c r="A33" s="137" t="s">
        <v>425</v>
      </c>
      <c r="B33" s="138" t="s">
        <v>426</v>
      </c>
      <c r="C33" s="138" t="s">
        <v>426</v>
      </c>
      <c r="D33" s="138" t="s">
        <v>292</v>
      </c>
      <c r="E33" s="139" t="s">
        <v>293</v>
      </c>
      <c r="F33" s="138" t="s">
        <v>427</v>
      </c>
      <c r="G33" s="140"/>
      <c r="H33" s="141">
        <v>5976992</v>
      </c>
      <c r="I33" s="142">
        <v>14.7722300486889</v>
      </c>
      <c r="J33" s="139">
        <v>429457372071.869</v>
      </c>
      <c r="K33" s="126">
        <v>61.5696575466427</v>
      </c>
      <c r="L33" s="123">
        <v>1110</v>
      </c>
      <c r="M33" s="123">
        <v>1110</v>
      </c>
      <c r="N33" s="123"/>
      <c r="O33" s="123"/>
      <c r="P33" s="123"/>
      <c r="Q33" s="123"/>
      <c r="R33" s="123">
        <v>1629</v>
      </c>
      <c r="S33" s="123"/>
      <c r="T33" s="123"/>
      <c r="U33" s="123"/>
      <c r="V33" s="123"/>
      <c r="W33" s="123">
        <v>2</v>
      </c>
      <c r="X33" s="123"/>
      <c r="Y33" s="123"/>
      <c r="Z33" s="123"/>
      <c r="AA33" s="123"/>
      <c r="AB33" s="123">
        <v>0</v>
      </c>
      <c r="AC33" s="153"/>
      <c r="AD33" s="153"/>
      <c r="AE33" s="153"/>
      <c r="AF33" s="153"/>
      <c r="AG33" s="153"/>
      <c r="AH33" s="153"/>
      <c r="AI33" s="153">
        <v>67</v>
      </c>
      <c r="AJ33" s="167"/>
      <c r="AK33" s="167"/>
      <c r="AL33" s="167"/>
      <c r="AM33" s="167"/>
      <c r="AN33" s="167">
        <v>66590</v>
      </c>
      <c r="AO33" s="167"/>
      <c r="AP33" s="167"/>
      <c r="AQ33" s="167"/>
      <c r="AR33" s="167">
        <v>100629.63</v>
      </c>
      <c r="AS33" s="126"/>
      <c r="AT33" s="126"/>
      <c r="AU33" s="126"/>
      <c r="AV33" s="126"/>
      <c r="AW33" s="126">
        <v>97.1</v>
      </c>
      <c r="AX33" s="126"/>
      <c r="AY33" s="126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123"/>
      <c r="BM33" s="123">
        <v>1</v>
      </c>
      <c r="BN33" s="123">
        <v>9</v>
      </c>
      <c r="BO33" s="123">
        <v>12</v>
      </c>
      <c r="BP33" s="139">
        <v>24</v>
      </c>
      <c r="BQ33" s="139">
        <v>1</v>
      </c>
      <c r="BR33" s="123">
        <f t="shared" si="0"/>
        <v>35</v>
      </c>
      <c r="BS33" s="139"/>
      <c r="BT33" s="139"/>
      <c r="BU33" s="139"/>
      <c r="BV33" s="139"/>
      <c r="BW33" s="139"/>
      <c r="BX33" s="139"/>
      <c r="BY33" s="139"/>
      <c r="BZ33" s="139">
        <v>98.53</v>
      </c>
      <c r="CA33" s="139">
        <v>76.78</v>
      </c>
      <c r="CB33" s="139">
        <v>98.58</v>
      </c>
      <c r="CC33" s="139">
        <v>98.11</v>
      </c>
      <c r="CD33" s="139">
        <v>99.53</v>
      </c>
      <c r="CE33" s="139">
        <v>100</v>
      </c>
      <c r="CF33" s="139">
        <v>95.255</v>
      </c>
      <c r="CG33" s="123">
        <v>0.962</v>
      </c>
      <c r="CH33" s="123">
        <v>96.2</v>
      </c>
      <c r="CI33" s="123">
        <v>95.7275</v>
      </c>
      <c r="CJ33" s="123">
        <v>0.8736786923754</v>
      </c>
      <c r="CK33" s="123">
        <v>87.36786923754</v>
      </c>
      <c r="CL33" s="123">
        <v>0.98474</v>
      </c>
      <c r="CM33" s="123">
        <v>98.474</v>
      </c>
      <c r="CN33" s="123">
        <v>0.9863</v>
      </c>
      <c r="CO33" s="123">
        <v>98.63</v>
      </c>
      <c r="CP33" s="123">
        <v>100</v>
      </c>
      <c r="CQ33" s="123"/>
      <c r="CR33" s="123">
        <v>96.117967309385</v>
      </c>
      <c r="CS33" s="123">
        <v>85.2566083184789</v>
      </c>
      <c r="CT33" s="154"/>
      <c r="CU33" s="154"/>
      <c r="CV33" s="154"/>
      <c r="CW33" s="154">
        <v>1</v>
      </c>
      <c r="CX33" s="143">
        <v>100</v>
      </c>
      <c r="CY33" s="154">
        <v>1</v>
      </c>
      <c r="CZ33" s="143">
        <v>100</v>
      </c>
      <c r="DA33" s="154">
        <v>1</v>
      </c>
      <c r="DB33" s="143">
        <v>100</v>
      </c>
      <c r="DC33" s="154">
        <v>1</v>
      </c>
      <c r="DD33" s="123">
        <v>100</v>
      </c>
      <c r="DE33" s="155"/>
      <c r="DF33" s="144">
        <v>0</v>
      </c>
      <c r="DG33" s="144">
        <v>0</v>
      </c>
      <c r="DH33" s="144">
        <v>0</v>
      </c>
      <c r="DI33" s="144">
        <v>0</v>
      </c>
      <c r="DJ33" s="143">
        <v>0</v>
      </c>
      <c r="DK33" s="144"/>
      <c r="DL33" s="144">
        <v>0</v>
      </c>
      <c r="DM33" s="123">
        <v>0</v>
      </c>
      <c r="DN33" s="171"/>
      <c r="DO33" s="171">
        <v>0</v>
      </c>
      <c r="DP33" s="143">
        <v>0</v>
      </c>
      <c r="DQ33" s="171"/>
      <c r="DR33" s="171">
        <v>2</v>
      </c>
      <c r="DS33" s="145">
        <v>1</v>
      </c>
      <c r="DT33" s="143">
        <v>100</v>
      </c>
      <c r="DU33" s="154">
        <v>0</v>
      </c>
      <c r="DV33" s="146">
        <v>0</v>
      </c>
      <c r="DW33" s="166">
        <v>1</v>
      </c>
      <c r="DX33" s="147">
        <v>100</v>
      </c>
      <c r="DY33" s="147">
        <v>66.6666666666667</v>
      </c>
      <c r="DZ33" s="157">
        <v>4</v>
      </c>
      <c r="EA33" s="126"/>
      <c r="EB33" s="126"/>
      <c r="EC33" s="123">
        <v>2</v>
      </c>
      <c r="ED33" s="123">
        <v>100</v>
      </c>
      <c r="EE33" s="123"/>
      <c r="EF33" s="123"/>
      <c r="EG33" s="123"/>
      <c r="EH33">
        <v>509</v>
      </c>
      <c r="EI33" s="123"/>
      <c r="EJ33" s="123">
        <v>489</v>
      </c>
      <c r="EK33" s="123"/>
      <c r="EL33" s="123"/>
      <c r="EM33" s="123"/>
      <c r="EN33" s="123"/>
      <c r="EO33" s="123"/>
      <c r="EP33" s="123"/>
      <c r="EQ33" s="123">
        <v>0.6</v>
      </c>
      <c r="ER33" s="123">
        <v>60</v>
      </c>
      <c r="ES33" s="123"/>
      <c r="ET33" s="123"/>
      <c r="EU33" s="123"/>
      <c r="EV33" s="123"/>
      <c r="EW33" s="123"/>
      <c r="EX33" s="123"/>
      <c r="EY33" s="123"/>
      <c r="EZ33" s="123"/>
      <c r="FA33" s="123"/>
      <c r="FB33" s="123"/>
      <c r="FC33" s="123"/>
      <c r="FD33" s="123"/>
      <c r="FE33" s="123"/>
      <c r="FF33" s="123"/>
      <c r="FG33" s="123"/>
      <c r="FH33" s="123"/>
      <c r="FI33" s="123"/>
      <c r="FJ33" s="123"/>
      <c r="FK33" s="123"/>
      <c r="FL33" s="123"/>
      <c r="FM33" s="123"/>
      <c r="FN33" s="123"/>
      <c r="FO33" s="123"/>
      <c r="FP33" s="123"/>
      <c r="FQ33" s="123"/>
      <c r="FR33" s="123"/>
      <c r="FS33" s="123"/>
      <c r="FT33" s="149"/>
      <c r="FU33" s="150"/>
      <c r="FV33" s="150"/>
      <c r="FW33" s="123"/>
      <c r="FX33" s="151"/>
      <c r="FY33" s="151"/>
      <c r="FZ33" s="151"/>
      <c r="GA33" s="151">
        <v>3.291066</v>
      </c>
      <c r="GB33" s="123">
        <v>0.303852915742194</v>
      </c>
      <c r="GC33" s="123"/>
      <c r="GD33" s="123">
        <v>30.3852915742194</v>
      </c>
      <c r="GE33" s="123">
        <v>1</v>
      </c>
      <c r="GF33" s="123">
        <v>1</v>
      </c>
      <c r="GG33" s="126">
        <v>100</v>
      </c>
      <c r="GH33" s="123">
        <v>12.79</v>
      </c>
      <c r="GI33" s="123"/>
      <c r="GJ33" s="123"/>
      <c r="GK33" s="123">
        <v>99.58</v>
      </c>
      <c r="GL33" s="123">
        <v>99.58</v>
      </c>
      <c r="GM33" s="123">
        <v>99.83</v>
      </c>
      <c r="GN33" s="123">
        <v>99.83</v>
      </c>
      <c r="GO33" s="123"/>
      <c r="GP33" s="123"/>
      <c r="GQ33" s="123">
        <v>2</v>
      </c>
      <c r="GR33" s="123"/>
      <c r="GS33" s="123">
        <v>3</v>
      </c>
      <c r="GT33" s="123"/>
      <c r="GU33" s="123"/>
      <c r="GV33" s="123">
        <v>5961</v>
      </c>
      <c r="GW33" s="123"/>
      <c r="GX33" s="123"/>
      <c r="GY33" s="123"/>
      <c r="GZ33" s="123"/>
      <c r="HA33" s="123">
        <v>146</v>
      </c>
      <c r="HB33" s="123"/>
      <c r="HC33" s="123"/>
      <c r="HD33" s="123"/>
      <c r="HE33" s="123"/>
      <c r="HF33" s="123">
        <v>50</v>
      </c>
      <c r="HG33" s="123"/>
      <c r="HH33" s="123"/>
      <c r="HI33" s="123"/>
      <c r="HJ33" s="123"/>
      <c r="HK33" s="123">
        <v>52</v>
      </c>
    </row>
    <row r="34" s="123" customFormat="1" ht="15" spans="1:219">
      <c r="A34" s="137" t="s">
        <v>428</v>
      </c>
      <c r="B34" s="138" t="s">
        <v>429</v>
      </c>
      <c r="C34" s="138" t="s">
        <v>429</v>
      </c>
      <c r="D34" s="138" t="s">
        <v>292</v>
      </c>
      <c r="E34" s="139" t="s">
        <v>293</v>
      </c>
      <c r="F34" s="138" t="s">
        <v>430</v>
      </c>
      <c r="G34" s="140"/>
      <c r="H34" s="141">
        <v>9562314</v>
      </c>
      <c r="I34" s="142">
        <v>23.6334099503225</v>
      </c>
      <c r="J34" s="139">
        <v>222904723252.11</v>
      </c>
      <c r="K34" s="126">
        <v>31.9569958944956</v>
      </c>
      <c r="L34" s="123">
        <v>175</v>
      </c>
      <c r="M34" s="123">
        <v>175</v>
      </c>
      <c r="N34" s="123"/>
      <c r="O34" s="123"/>
      <c r="P34" s="123"/>
      <c r="Q34" s="123"/>
      <c r="R34" s="123">
        <v>268</v>
      </c>
      <c r="S34" s="123"/>
      <c r="T34" s="123"/>
      <c r="U34" s="123"/>
      <c r="V34" s="123"/>
      <c r="W34" s="123">
        <v>0</v>
      </c>
      <c r="X34" s="123"/>
      <c r="Y34" s="123"/>
      <c r="Z34" s="123"/>
      <c r="AA34" s="123"/>
      <c r="AB34" s="123">
        <v>0</v>
      </c>
      <c r="AC34" s="153"/>
      <c r="AD34" s="153"/>
      <c r="AE34" s="153"/>
      <c r="AF34" s="153"/>
      <c r="AG34" s="153"/>
      <c r="AH34" s="153"/>
      <c r="AI34" s="153">
        <v>19</v>
      </c>
      <c r="AJ34" s="167"/>
      <c r="AK34" s="167"/>
      <c r="AL34" s="167"/>
      <c r="AM34" s="167"/>
      <c r="AN34" s="167">
        <v>3105</v>
      </c>
      <c r="AO34" s="167"/>
      <c r="AP34" s="167"/>
      <c r="AQ34" s="167"/>
      <c r="AR34" s="167">
        <v>4508.49</v>
      </c>
      <c r="AS34" s="126"/>
      <c r="AT34" s="126"/>
      <c r="AU34" s="126"/>
      <c r="AV34" s="126"/>
      <c r="AW34" s="126">
        <v>87.4</v>
      </c>
      <c r="AX34" s="126"/>
      <c r="AY34" s="126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>
        <v>0</v>
      </c>
      <c r="BN34" s="123">
        <v>2</v>
      </c>
      <c r="BO34" s="123">
        <v>15</v>
      </c>
      <c r="BP34" s="139">
        <v>40</v>
      </c>
      <c r="BQ34" s="139">
        <v>0</v>
      </c>
      <c r="BR34" s="123">
        <f t="shared" si="0"/>
        <v>42</v>
      </c>
      <c r="BS34" s="139"/>
      <c r="BT34" s="139"/>
      <c r="BU34" s="139"/>
      <c r="BV34" s="139"/>
      <c r="BW34" s="139"/>
      <c r="BX34" s="139"/>
      <c r="BY34" s="139"/>
      <c r="BZ34" s="139">
        <v>59.31</v>
      </c>
      <c r="CA34" s="139">
        <v>72.04</v>
      </c>
      <c r="CB34" s="139">
        <v>62.74</v>
      </c>
      <c r="CC34" s="139">
        <v>62.74</v>
      </c>
      <c r="CD34" s="139">
        <v>63.21</v>
      </c>
      <c r="CE34" s="139">
        <v>54.72</v>
      </c>
      <c r="CF34" s="139">
        <v>62.46</v>
      </c>
      <c r="CG34" s="123">
        <v>0.87</v>
      </c>
      <c r="CH34" s="123">
        <v>87</v>
      </c>
      <c r="CI34" s="123">
        <v>74.73</v>
      </c>
      <c r="CJ34" s="123">
        <v>0.793362036183099</v>
      </c>
      <c r="CK34" s="123">
        <v>79.3362036183099</v>
      </c>
      <c r="CL34" s="123">
        <v>0.8043</v>
      </c>
      <c r="CM34" s="123">
        <v>80.43</v>
      </c>
      <c r="CN34" s="123">
        <v>0.5479</v>
      </c>
      <c r="CO34" s="123">
        <v>54.79</v>
      </c>
      <c r="CP34" s="123">
        <v>88.73</v>
      </c>
      <c r="CQ34" s="123"/>
      <c r="CR34" s="123">
        <v>75.8215509045775</v>
      </c>
      <c r="CS34" s="123">
        <v>80.3730916414468</v>
      </c>
      <c r="CT34" s="154"/>
      <c r="CU34" s="154"/>
      <c r="CV34" s="154"/>
      <c r="CW34" s="154">
        <v>1</v>
      </c>
      <c r="CX34" s="143">
        <v>100</v>
      </c>
      <c r="CY34" s="154">
        <v>1</v>
      </c>
      <c r="CZ34" s="143">
        <v>100</v>
      </c>
      <c r="DA34" s="154">
        <v>1</v>
      </c>
      <c r="DB34" s="143">
        <v>100</v>
      </c>
      <c r="DC34" s="154">
        <v>1</v>
      </c>
      <c r="DD34" s="123">
        <v>100</v>
      </c>
      <c r="DE34" s="155"/>
      <c r="DF34" s="144">
        <v>0</v>
      </c>
      <c r="DG34" s="144">
        <v>0</v>
      </c>
      <c r="DH34" s="144">
        <v>0</v>
      </c>
      <c r="DI34" s="144">
        <v>0</v>
      </c>
      <c r="DJ34" s="143">
        <v>0</v>
      </c>
      <c r="DK34" s="144"/>
      <c r="DL34" s="144">
        <v>0</v>
      </c>
      <c r="DM34" s="123">
        <v>0</v>
      </c>
      <c r="DN34" s="154"/>
      <c r="DO34" s="154">
        <v>0</v>
      </c>
      <c r="DP34" s="143">
        <v>0</v>
      </c>
      <c r="DQ34" s="154"/>
      <c r="DR34" s="154">
        <v>2</v>
      </c>
      <c r="DS34" s="145">
        <v>1</v>
      </c>
      <c r="DT34" s="143">
        <v>100</v>
      </c>
      <c r="DU34" s="154">
        <v>0</v>
      </c>
      <c r="DV34" s="146">
        <v>0</v>
      </c>
      <c r="DW34" s="146">
        <v>1</v>
      </c>
      <c r="DX34" s="147">
        <v>100</v>
      </c>
      <c r="DY34" s="147">
        <v>66.6666666666667</v>
      </c>
      <c r="DZ34" s="157">
        <v>4</v>
      </c>
      <c r="EA34" s="126"/>
      <c r="EB34" s="126"/>
      <c r="EC34" s="123">
        <v>2</v>
      </c>
      <c r="ED34" s="123">
        <v>100</v>
      </c>
      <c r="EE34" s="123"/>
      <c r="EF34" s="123"/>
      <c r="EG34" s="123"/>
      <c r="EH34">
        <v>481</v>
      </c>
      <c r="EI34" s="123"/>
      <c r="EJ34" s="123">
        <v>473</v>
      </c>
      <c r="EK34" s="123"/>
      <c r="EL34" s="123"/>
      <c r="EM34" s="150"/>
      <c r="EN34" s="150"/>
      <c r="EO34" s="150"/>
      <c r="EP34" s="150"/>
      <c r="EQ34" s="216" t="s">
        <v>431</v>
      </c>
      <c r="ER34" s="123">
        <v>77.0681818181818</v>
      </c>
      <c r="ES34" s="123">
        <v>0.74</v>
      </c>
      <c r="ET34" s="123">
        <v>0.41</v>
      </c>
      <c r="EU34" s="123"/>
      <c r="EV34" s="123">
        <v>57.5</v>
      </c>
      <c r="EW34" s="123"/>
      <c r="EX34" s="123"/>
      <c r="EY34" s="123">
        <v>0.48</v>
      </c>
      <c r="EZ34" s="123">
        <v>0.44</v>
      </c>
      <c r="FA34" s="123"/>
      <c r="FB34" s="123">
        <v>46</v>
      </c>
      <c r="FC34" s="123">
        <v>0.67</v>
      </c>
      <c r="FD34" s="123">
        <v>0.2</v>
      </c>
      <c r="FE34" s="123">
        <v>0.13</v>
      </c>
      <c r="FF34" s="123">
        <v>0.41</v>
      </c>
      <c r="FG34" s="123">
        <v>0.35</v>
      </c>
      <c r="FH34" s="123">
        <v>0.58</v>
      </c>
      <c r="FI34" s="123">
        <v>0.23</v>
      </c>
      <c r="FJ34" s="123">
        <v>0.26</v>
      </c>
      <c r="FK34" s="123">
        <v>0.51</v>
      </c>
      <c r="FL34" s="123">
        <v>0.32</v>
      </c>
      <c r="FM34" s="123">
        <v>0.46</v>
      </c>
      <c r="FN34" s="123">
        <v>0.24</v>
      </c>
      <c r="FO34" s="123">
        <v>0.19</v>
      </c>
      <c r="FP34" s="123">
        <v>0.23</v>
      </c>
      <c r="FQ34" s="123">
        <v>0.35</v>
      </c>
      <c r="FR34" s="123">
        <v>34.2</v>
      </c>
      <c r="FS34" s="123">
        <v>0.55</v>
      </c>
      <c r="FT34" s="149">
        <v>0.6</v>
      </c>
      <c r="FU34" s="150">
        <v>57.5</v>
      </c>
      <c r="FV34" s="150"/>
      <c r="FW34" s="123"/>
      <c r="FX34" s="151"/>
      <c r="FY34" s="151"/>
      <c r="FZ34" s="151"/>
      <c r="GA34" s="151">
        <v>2.861111</v>
      </c>
      <c r="GB34" s="123">
        <v>0.349514576680178</v>
      </c>
      <c r="GC34" s="123"/>
      <c r="GD34" s="123">
        <v>34.9514576680178</v>
      </c>
      <c r="GE34" s="123">
        <v>1</v>
      </c>
      <c r="GF34" s="123">
        <v>1</v>
      </c>
      <c r="GG34" s="126">
        <v>100</v>
      </c>
      <c r="GH34" s="123">
        <v>6.09</v>
      </c>
      <c r="GI34" s="123"/>
      <c r="GJ34" s="123"/>
      <c r="GK34" s="123">
        <v>83.1</v>
      </c>
      <c r="GL34" s="123">
        <v>83.1</v>
      </c>
      <c r="GM34" s="123">
        <v>99.68</v>
      </c>
      <c r="GN34" s="123">
        <v>99.68</v>
      </c>
      <c r="GO34" s="123"/>
      <c r="GP34" s="123"/>
      <c r="GQ34" s="123">
        <v>1</v>
      </c>
      <c r="GR34" s="123"/>
      <c r="GS34" s="123"/>
      <c r="GT34" s="123"/>
      <c r="GU34" s="123"/>
      <c r="GV34" s="123">
        <v>2846</v>
      </c>
      <c r="GW34" s="123"/>
      <c r="GX34" s="123"/>
      <c r="GY34" s="123"/>
      <c r="GZ34" s="123"/>
      <c r="HA34" s="123">
        <v>17</v>
      </c>
      <c r="HB34" s="123"/>
      <c r="HC34" s="123"/>
      <c r="HD34" s="123"/>
      <c r="HE34" s="123"/>
      <c r="HF34" s="123">
        <v>8</v>
      </c>
      <c r="HG34" s="123"/>
      <c r="HH34" s="123"/>
      <c r="HI34" s="123"/>
      <c r="HJ34" s="123"/>
      <c r="HK34" s="123">
        <v>10</v>
      </c>
    </row>
    <row r="35" s="123" customFormat="1" ht="15" spans="1:219">
      <c r="A35" s="137" t="s">
        <v>432</v>
      </c>
      <c r="B35" s="138" t="s">
        <v>433</v>
      </c>
      <c r="C35" s="138" t="s">
        <v>433</v>
      </c>
      <c r="D35" s="138" t="s">
        <v>292</v>
      </c>
      <c r="E35" s="139" t="s">
        <v>293</v>
      </c>
      <c r="F35" s="138" t="s">
        <v>434</v>
      </c>
      <c r="G35" s="140"/>
      <c r="H35" s="141">
        <v>5380257</v>
      </c>
      <c r="I35" s="142">
        <v>13.2973900793357</v>
      </c>
      <c r="J35" s="139">
        <v>577389475009.922</v>
      </c>
      <c r="K35" s="126">
        <v>82.7781161978692</v>
      </c>
      <c r="L35" s="123">
        <v>670</v>
      </c>
      <c r="M35" s="123">
        <v>670</v>
      </c>
      <c r="N35" s="123"/>
      <c r="O35" s="123"/>
      <c r="P35" s="123"/>
      <c r="Q35" s="123"/>
      <c r="R35" s="123">
        <v>966</v>
      </c>
      <c r="S35" s="123"/>
      <c r="T35" s="123"/>
      <c r="U35" s="123"/>
      <c r="V35" s="123"/>
      <c r="W35" s="123">
        <v>0</v>
      </c>
      <c r="X35" s="123"/>
      <c r="Y35" s="123"/>
      <c r="Z35" s="123"/>
      <c r="AA35" s="123"/>
      <c r="AB35" s="123">
        <v>2</v>
      </c>
      <c r="AC35" s="153"/>
      <c r="AD35" s="153"/>
      <c r="AE35" s="153"/>
      <c r="AF35" s="153"/>
      <c r="AG35" s="153"/>
      <c r="AH35" s="153"/>
      <c r="AI35" s="153">
        <v>135</v>
      </c>
      <c r="AJ35" s="126"/>
      <c r="AK35" s="126"/>
      <c r="AL35" s="126"/>
      <c r="AM35" s="126"/>
      <c r="AN35" s="123">
        <v>6697.33</v>
      </c>
      <c r="AO35" s="123"/>
      <c r="AP35" s="123"/>
      <c r="AQ35" s="123"/>
      <c r="AR35" s="123">
        <v>13160.45</v>
      </c>
      <c r="AS35" s="126"/>
      <c r="AT35" s="126"/>
      <c r="AU35" s="126"/>
      <c r="AV35" s="126"/>
      <c r="AW35" s="126">
        <v>90.7</v>
      </c>
      <c r="AX35" s="126"/>
      <c r="AY35" s="126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>
        <v>2</v>
      </c>
      <c r="BN35" s="123">
        <v>7</v>
      </c>
      <c r="BO35" s="123">
        <v>10</v>
      </c>
      <c r="BP35" s="139">
        <v>25</v>
      </c>
      <c r="BQ35" s="139">
        <v>0</v>
      </c>
      <c r="BR35" s="123">
        <f t="shared" si="0"/>
        <v>34</v>
      </c>
      <c r="BS35" s="139"/>
      <c r="BT35" s="139"/>
      <c r="BU35" s="139"/>
      <c r="BV35" s="139"/>
      <c r="BW35" s="139"/>
      <c r="BX35" s="139"/>
      <c r="BY35" s="139"/>
      <c r="BZ35" s="139">
        <v>95.59</v>
      </c>
      <c r="CA35" s="139">
        <v>78.67</v>
      </c>
      <c r="CB35" s="139">
        <v>94.34</v>
      </c>
      <c r="CC35" s="139">
        <v>96.23</v>
      </c>
      <c r="CD35" s="139">
        <v>93.87</v>
      </c>
      <c r="CE35" s="139">
        <v>92.92</v>
      </c>
      <c r="CF35" s="139">
        <v>91.9366666666667</v>
      </c>
      <c r="CG35" s="123">
        <v>0.949</v>
      </c>
      <c r="CH35" s="123">
        <v>94.9</v>
      </c>
      <c r="CI35" s="123">
        <v>93.4183333333334</v>
      </c>
      <c r="CJ35" s="123">
        <v>0.52335947164025</v>
      </c>
      <c r="CK35" s="123">
        <v>52.335947164025</v>
      </c>
      <c r="CL35" s="123">
        <v>0.91377</v>
      </c>
      <c r="CM35" s="123">
        <v>91.377</v>
      </c>
      <c r="CN35" s="123">
        <v>0.9178</v>
      </c>
      <c r="CO35" s="123">
        <v>91.78</v>
      </c>
      <c r="CP35" s="123">
        <v>90.9</v>
      </c>
      <c r="CQ35" s="123"/>
      <c r="CR35" s="123">
        <v>81.5982367910063</v>
      </c>
      <c r="CS35" s="123">
        <v>78.5899640416773</v>
      </c>
      <c r="CT35" s="154"/>
      <c r="CU35" s="154"/>
      <c r="CV35" s="154"/>
      <c r="CW35" s="154">
        <v>1</v>
      </c>
      <c r="CX35" s="143">
        <v>100</v>
      </c>
      <c r="CY35" s="154">
        <v>1</v>
      </c>
      <c r="CZ35" s="143">
        <v>100</v>
      </c>
      <c r="DA35" s="154">
        <v>1</v>
      </c>
      <c r="DB35" s="143">
        <v>100</v>
      </c>
      <c r="DC35" s="154">
        <v>1</v>
      </c>
      <c r="DD35" s="123">
        <v>100</v>
      </c>
      <c r="DE35" s="155"/>
      <c r="DF35" s="144">
        <v>0</v>
      </c>
      <c r="DG35" s="144">
        <v>0</v>
      </c>
      <c r="DH35" s="144">
        <v>0</v>
      </c>
      <c r="DI35" s="144">
        <v>0</v>
      </c>
      <c r="DJ35" s="143">
        <v>0</v>
      </c>
      <c r="DK35" s="144"/>
      <c r="DL35" s="144">
        <v>0</v>
      </c>
      <c r="DM35" s="123">
        <v>0</v>
      </c>
      <c r="DN35" s="154"/>
      <c r="DO35" s="154">
        <v>0</v>
      </c>
      <c r="DP35" s="143">
        <v>0</v>
      </c>
      <c r="DQ35" s="154"/>
      <c r="DR35" s="154">
        <v>2</v>
      </c>
      <c r="DS35" s="145">
        <v>1</v>
      </c>
      <c r="DT35" s="143">
        <v>100</v>
      </c>
      <c r="DU35" s="154">
        <v>0</v>
      </c>
      <c r="DV35" s="146">
        <v>0</v>
      </c>
      <c r="DW35" s="146">
        <v>1</v>
      </c>
      <c r="DX35" s="147">
        <v>100</v>
      </c>
      <c r="DY35" s="147">
        <v>66.6666666666667</v>
      </c>
      <c r="DZ35" s="157">
        <v>4</v>
      </c>
      <c r="EA35" s="126"/>
      <c r="EB35" s="126"/>
      <c r="EC35" s="123">
        <v>2</v>
      </c>
      <c r="ED35" s="123">
        <v>100</v>
      </c>
      <c r="EE35" s="123"/>
      <c r="EF35" s="123"/>
      <c r="EG35" s="123"/>
      <c r="EH35">
        <v>500</v>
      </c>
      <c r="EI35" s="123"/>
      <c r="EJ35" s="123">
        <v>492</v>
      </c>
      <c r="EK35" s="123"/>
      <c r="EL35" s="123"/>
      <c r="EM35" s="150"/>
      <c r="EN35" s="150"/>
      <c r="EO35" s="150"/>
      <c r="EP35" s="150"/>
      <c r="EQ35" s="216" t="s">
        <v>435</v>
      </c>
      <c r="ER35" s="123">
        <v>80.9090909090909</v>
      </c>
      <c r="ES35" s="123">
        <v>0.64</v>
      </c>
      <c r="ET35" s="123">
        <v>0.43</v>
      </c>
      <c r="EU35" s="123">
        <v>71.99</v>
      </c>
      <c r="EV35" s="123">
        <v>59.6633333333333</v>
      </c>
      <c r="EW35" s="123"/>
      <c r="EX35" s="123"/>
      <c r="EY35" s="123">
        <v>0.48</v>
      </c>
      <c r="EZ35" s="123">
        <v>0.41</v>
      </c>
      <c r="FA35" s="123">
        <v>26.1</v>
      </c>
      <c r="FB35" s="123">
        <v>38.3666666666667</v>
      </c>
      <c r="FC35" s="123">
        <v>0.54</v>
      </c>
      <c r="FD35" s="123">
        <v>0.23</v>
      </c>
      <c r="FE35" s="123">
        <v>0.26</v>
      </c>
      <c r="FF35" s="123">
        <v>0.39</v>
      </c>
      <c r="FG35" s="123">
        <v>0.32</v>
      </c>
      <c r="FH35" s="123">
        <v>0.44</v>
      </c>
      <c r="FI35" s="123">
        <v>0.33</v>
      </c>
      <c r="FJ35" s="123">
        <v>0.3</v>
      </c>
      <c r="FK35" s="123">
        <v>0.42</v>
      </c>
      <c r="FL35" s="123">
        <v>0.33</v>
      </c>
      <c r="FM35" s="123">
        <v>0.44</v>
      </c>
      <c r="FN35" s="123">
        <v>0.22</v>
      </c>
      <c r="FO35" s="123">
        <v>0.28</v>
      </c>
      <c r="FP35" s="123">
        <v>0.28</v>
      </c>
      <c r="FQ35" s="123">
        <v>0.34</v>
      </c>
      <c r="FR35" s="123">
        <v>34.1333333333333</v>
      </c>
      <c r="FS35" s="123">
        <v>0.39</v>
      </c>
      <c r="FT35" s="149">
        <v>0.43</v>
      </c>
      <c r="FU35" s="150">
        <v>41</v>
      </c>
      <c r="FV35" s="150"/>
      <c r="FW35" s="123"/>
      <c r="FX35" s="151"/>
      <c r="FY35" s="151"/>
      <c r="FZ35" s="151"/>
      <c r="GA35" s="151">
        <v>4.127168</v>
      </c>
      <c r="GB35" s="123">
        <v>0.242296897049018</v>
      </c>
      <c r="GC35" s="123"/>
      <c r="GD35" s="123">
        <v>24.2296897049018</v>
      </c>
      <c r="GE35" s="123">
        <v>1</v>
      </c>
      <c r="GF35" s="123">
        <v>1</v>
      </c>
      <c r="GG35" s="126">
        <v>100</v>
      </c>
      <c r="GH35" s="123">
        <v>12.87</v>
      </c>
      <c r="GI35" s="123"/>
      <c r="GJ35" s="123"/>
      <c r="GK35" s="123">
        <v>95.95</v>
      </c>
      <c r="GL35" s="123">
        <v>95.95</v>
      </c>
      <c r="GM35" s="123">
        <v>99.84</v>
      </c>
      <c r="GN35" s="123">
        <v>99.84</v>
      </c>
      <c r="GO35" s="123"/>
      <c r="GP35" s="123"/>
      <c r="GQ35" s="123"/>
      <c r="GR35" s="123"/>
      <c r="GS35" s="123">
        <v>2</v>
      </c>
      <c r="GT35" s="123"/>
      <c r="GU35" s="123"/>
      <c r="GV35" s="123">
        <v>4784</v>
      </c>
      <c r="GW35" s="123"/>
      <c r="GX35" s="123"/>
      <c r="GY35" s="123"/>
      <c r="GZ35" s="123"/>
      <c r="HA35" s="123">
        <v>101</v>
      </c>
      <c r="HB35" s="123"/>
      <c r="HC35" s="123"/>
      <c r="HD35" s="123"/>
      <c r="HE35" s="123"/>
      <c r="HF35" s="123">
        <v>42</v>
      </c>
      <c r="HG35" s="123"/>
      <c r="HH35" s="123"/>
      <c r="HI35" s="123"/>
      <c r="HJ35" s="123"/>
      <c r="HK35" s="123">
        <v>62</v>
      </c>
    </row>
    <row r="36" s="123" customFormat="1" ht="15" spans="1:219">
      <c r="A36" s="137" t="s">
        <v>436</v>
      </c>
      <c r="B36" s="138" t="s">
        <v>437</v>
      </c>
      <c r="C36" s="138" t="s">
        <v>437</v>
      </c>
      <c r="D36" s="138" t="s">
        <v>292</v>
      </c>
      <c r="E36" s="139" t="s">
        <v>293</v>
      </c>
      <c r="F36" s="138" t="s">
        <v>438</v>
      </c>
      <c r="G36" s="140"/>
      <c r="H36" s="141">
        <v>5572272</v>
      </c>
      <c r="I36" s="142">
        <v>13.771958181953</v>
      </c>
      <c r="J36" s="139">
        <v>483727398216.364</v>
      </c>
      <c r="K36" s="126">
        <v>69.3501432061245</v>
      </c>
      <c r="L36" s="123">
        <v>775</v>
      </c>
      <c r="M36" s="123">
        <v>775</v>
      </c>
      <c r="N36" s="123"/>
      <c r="O36" s="123"/>
      <c r="P36" s="123"/>
      <c r="Q36" s="123"/>
      <c r="R36" s="123">
        <v>1039</v>
      </c>
      <c r="S36" s="123"/>
      <c r="T36" s="123"/>
      <c r="U36" s="123"/>
      <c r="V36" s="123"/>
      <c r="W36" s="123">
        <v>2</v>
      </c>
      <c r="X36" s="150"/>
      <c r="Y36" s="150"/>
      <c r="Z36" s="150"/>
      <c r="AA36" s="150"/>
      <c r="AB36" s="150">
        <v>0</v>
      </c>
      <c r="AC36" s="153"/>
      <c r="AD36" s="153"/>
      <c r="AE36" s="153"/>
      <c r="AF36" s="153"/>
      <c r="AG36" s="153"/>
      <c r="AH36" s="153"/>
      <c r="AI36" s="153">
        <v>85</v>
      </c>
      <c r="AJ36" s="126"/>
      <c r="AK36" s="126"/>
      <c r="AL36" s="126"/>
      <c r="AM36" s="126"/>
      <c r="AN36" s="123">
        <v>44075.21</v>
      </c>
      <c r="AO36" s="123"/>
      <c r="AP36" s="123"/>
      <c r="AQ36" s="123"/>
      <c r="AR36" s="123">
        <v>62065.55</v>
      </c>
      <c r="AS36" s="126"/>
      <c r="AT36" s="126"/>
      <c r="AU36" s="126"/>
      <c r="AV36" s="126"/>
      <c r="AW36" s="126">
        <v>93.4</v>
      </c>
      <c r="AX36" s="126"/>
      <c r="AY36" s="126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>
        <v>3</v>
      </c>
      <c r="BN36" s="123">
        <v>6</v>
      </c>
      <c r="BO36" s="123">
        <v>5</v>
      </c>
      <c r="BP36" s="139">
        <v>5</v>
      </c>
      <c r="BQ36" s="139">
        <v>0</v>
      </c>
      <c r="BR36" s="123">
        <f t="shared" ref="BR36:BR67" si="1">SUM(BM36,BN36,BP36,BQ36)</f>
        <v>14</v>
      </c>
      <c r="BS36" s="139"/>
      <c r="BT36" s="139"/>
      <c r="BU36" s="139"/>
      <c r="BV36" s="139"/>
      <c r="BW36" s="139"/>
      <c r="BX36" s="139"/>
      <c r="BY36" s="139"/>
      <c r="BZ36" s="139">
        <v>100</v>
      </c>
      <c r="CA36" s="139">
        <v>77.73</v>
      </c>
      <c r="CB36" s="139">
        <v>97.64</v>
      </c>
      <c r="CC36" s="139">
        <v>93.4</v>
      </c>
      <c r="CD36" s="139">
        <v>99.06</v>
      </c>
      <c r="CE36" s="139">
        <v>99.06</v>
      </c>
      <c r="CF36" s="139">
        <v>94.4816666666667</v>
      </c>
      <c r="CG36" s="123">
        <v>0.97</v>
      </c>
      <c r="CH36" s="123">
        <v>97</v>
      </c>
      <c r="CI36" s="123">
        <v>95.7408333333333</v>
      </c>
      <c r="CJ36" s="123">
        <v>0.794983042024813</v>
      </c>
      <c r="CK36" s="123">
        <v>79.4983042024813</v>
      </c>
      <c r="CL36" s="123">
        <v>0.93153</v>
      </c>
      <c r="CM36" s="123">
        <v>93.153</v>
      </c>
      <c r="CN36" s="123">
        <v>0.863</v>
      </c>
      <c r="CO36" s="123">
        <v>86.3</v>
      </c>
      <c r="CP36" s="123">
        <v>97.01</v>
      </c>
      <c r="CQ36" s="123"/>
      <c r="CR36" s="123">
        <v>88.9903260506203</v>
      </c>
      <c r="CS36" s="123">
        <v>82.7205854979987</v>
      </c>
      <c r="CT36" s="154"/>
      <c r="CU36" s="154"/>
      <c r="CV36" s="154"/>
      <c r="CW36" s="154">
        <v>1</v>
      </c>
      <c r="CX36" s="143">
        <v>100</v>
      </c>
      <c r="CY36" s="154">
        <v>1</v>
      </c>
      <c r="CZ36" s="143">
        <v>100</v>
      </c>
      <c r="DA36" s="154">
        <v>1</v>
      </c>
      <c r="DB36" s="143">
        <v>100</v>
      </c>
      <c r="DC36" s="154">
        <v>1</v>
      </c>
      <c r="DD36" s="123">
        <v>100</v>
      </c>
      <c r="DE36" s="155"/>
      <c r="DF36" s="144">
        <v>0</v>
      </c>
      <c r="DG36" s="144">
        <v>0</v>
      </c>
      <c r="DH36" s="144">
        <v>0</v>
      </c>
      <c r="DI36" s="144">
        <v>0</v>
      </c>
      <c r="DJ36" s="143">
        <v>0</v>
      </c>
      <c r="DK36" s="144"/>
      <c r="DL36" s="144">
        <v>0</v>
      </c>
      <c r="DM36" s="123">
        <v>0</v>
      </c>
      <c r="DN36" s="154"/>
      <c r="DO36" s="154">
        <v>0</v>
      </c>
      <c r="DP36" s="143">
        <v>0</v>
      </c>
      <c r="DQ36" s="154"/>
      <c r="DR36" s="154">
        <v>2</v>
      </c>
      <c r="DS36" s="145">
        <v>1</v>
      </c>
      <c r="DT36" s="143">
        <v>100</v>
      </c>
      <c r="DU36" s="154">
        <v>1</v>
      </c>
      <c r="DV36" s="146">
        <v>100</v>
      </c>
      <c r="DW36" s="146">
        <v>1</v>
      </c>
      <c r="DX36" s="147">
        <v>100</v>
      </c>
      <c r="DY36" s="147">
        <v>100</v>
      </c>
      <c r="DZ36" s="157">
        <v>4</v>
      </c>
      <c r="EA36" s="126"/>
      <c r="EB36" s="126"/>
      <c r="EC36" s="123">
        <v>2</v>
      </c>
      <c r="ED36" s="123">
        <v>100</v>
      </c>
      <c r="EE36" s="123"/>
      <c r="EF36" s="123"/>
      <c r="EG36" s="123"/>
      <c r="EH36">
        <v>501</v>
      </c>
      <c r="EI36" s="123"/>
      <c r="EJ36" s="123">
        <v>468</v>
      </c>
      <c r="EK36" s="123"/>
      <c r="EL36" s="123"/>
      <c r="EM36" s="150"/>
      <c r="EN36" s="150"/>
      <c r="EO36" s="150"/>
      <c r="EP36" s="150"/>
      <c r="EQ36" s="216" t="s">
        <v>439</v>
      </c>
      <c r="ER36" s="123">
        <v>78.6136363636364</v>
      </c>
      <c r="ES36" s="123"/>
      <c r="ET36" s="123"/>
      <c r="EU36" s="123">
        <v>73.65</v>
      </c>
      <c r="EV36" s="123">
        <v>24.55</v>
      </c>
      <c r="EW36" s="123"/>
      <c r="EX36" s="123"/>
      <c r="EY36" s="123"/>
      <c r="EZ36" s="123"/>
      <c r="FA36" s="123">
        <v>24.1</v>
      </c>
      <c r="FB36" s="123">
        <v>8.03333333333333</v>
      </c>
      <c r="FC36" s="123"/>
      <c r="FD36" s="123"/>
      <c r="FE36" s="123"/>
      <c r="FF36" s="123"/>
      <c r="FG36" s="123"/>
      <c r="FH36" s="123"/>
      <c r="FI36" s="123"/>
      <c r="FJ36" s="123"/>
      <c r="FK36" s="123"/>
      <c r="FL36" s="123"/>
      <c r="FM36" s="123"/>
      <c r="FN36" s="123"/>
      <c r="FO36" s="123"/>
      <c r="FP36" s="123"/>
      <c r="FQ36" s="123"/>
      <c r="FR36" s="123"/>
      <c r="FS36" s="123"/>
      <c r="FT36" s="149"/>
      <c r="FU36" s="150"/>
      <c r="FV36" s="150"/>
      <c r="FW36" s="123"/>
      <c r="FX36" s="151"/>
      <c r="FY36" s="151"/>
      <c r="FZ36" s="151"/>
      <c r="GA36" s="151">
        <v>3.724868</v>
      </c>
      <c r="GB36" s="123">
        <v>0.268465889261042</v>
      </c>
      <c r="GC36" s="123"/>
      <c r="GD36" s="123">
        <v>26.8465889261042</v>
      </c>
      <c r="GE36" s="123">
        <v>1</v>
      </c>
      <c r="GF36" s="123">
        <v>1</v>
      </c>
      <c r="GG36" s="126">
        <v>100</v>
      </c>
      <c r="GH36" s="123">
        <v>20.66</v>
      </c>
      <c r="GI36" s="123"/>
      <c r="GJ36" s="123"/>
      <c r="GK36" s="123">
        <v>98.38</v>
      </c>
      <c r="GL36" s="123">
        <v>98.38</v>
      </c>
      <c r="GM36" s="123">
        <v>100</v>
      </c>
      <c r="GN36" s="123">
        <v>100</v>
      </c>
      <c r="GO36" s="123"/>
      <c r="GP36" s="123"/>
      <c r="GQ36" s="123"/>
      <c r="GR36" s="123"/>
      <c r="GS36" s="123"/>
      <c r="GT36" s="123"/>
      <c r="GU36" s="123"/>
      <c r="GV36" s="123">
        <v>61636</v>
      </c>
      <c r="GW36" s="123"/>
      <c r="GX36" s="123"/>
      <c r="GY36" s="123"/>
      <c r="GZ36" s="123"/>
      <c r="HA36" s="123">
        <v>126</v>
      </c>
      <c r="HB36" s="123"/>
      <c r="HC36" s="123"/>
      <c r="HD36" s="123"/>
      <c r="HE36" s="123"/>
      <c r="HF36" s="123">
        <v>49</v>
      </c>
      <c r="HG36" s="123"/>
      <c r="HH36" s="123"/>
      <c r="HI36" s="123"/>
      <c r="HJ36" s="123"/>
      <c r="HK36" s="123">
        <v>53</v>
      </c>
    </row>
    <row r="37" s="123" customFormat="1" ht="15" spans="1:219">
      <c r="A37" s="137" t="s">
        <v>440</v>
      </c>
      <c r="B37" s="138" t="s">
        <v>441</v>
      </c>
      <c r="C37" s="138" t="s">
        <v>441</v>
      </c>
      <c r="D37" s="138" t="s">
        <v>292</v>
      </c>
      <c r="E37" s="139" t="s">
        <v>293</v>
      </c>
      <c r="F37" s="138" t="s">
        <v>423</v>
      </c>
      <c r="G37" s="140"/>
      <c r="H37" s="141">
        <v>36554707</v>
      </c>
      <c r="I37" s="142">
        <v>90.3455352067423</v>
      </c>
      <c r="J37" s="139">
        <v>914696430325.391</v>
      </c>
      <c r="K37" s="126">
        <v>131.136521658886</v>
      </c>
      <c r="L37" s="123">
        <v>558</v>
      </c>
      <c r="M37" s="123">
        <v>558</v>
      </c>
      <c r="N37" s="123"/>
      <c r="O37" s="123"/>
      <c r="P37" s="123"/>
      <c r="Q37" s="123"/>
      <c r="R37" s="123">
        <v>936</v>
      </c>
      <c r="S37" s="123"/>
      <c r="T37" s="123"/>
      <c r="U37" s="123"/>
      <c r="V37" s="123"/>
      <c r="W37" s="123">
        <v>4</v>
      </c>
      <c r="X37" s="123"/>
      <c r="Y37" s="123"/>
      <c r="Z37" s="123"/>
      <c r="AA37" s="123"/>
      <c r="AB37" s="123">
        <v>0</v>
      </c>
      <c r="AC37" s="153"/>
      <c r="AD37" s="153"/>
      <c r="AE37" s="153"/>
      <c r="AF37" s="153"/>
      <c r="AG37" s="153"/>
      <c r="AH37" s="153"/>
      <c r="AI37" s="153">
        <v>94</v>
      </c>
      <c r="AJ37" s="126"/>
      <c r="AK37" s="126"/>
      <c r="AL37" s="126"/>
      <c r="AM37" s="126"/>
      <c r="AN37" s="123">
        <v>63412.67</v>
      </c>
      <c r="AO37" s="123"/>
      <c r="AP37" s="123"/>
      <c r="AQ37" s="123"/>
      <c r="AR37" s="123">
        <v>101087.44</v>
      </c>
      <c r="AS37" s="126"/>
      <c r="AT37" s="126"/>
      <c r="AU37" s="126"/>
      <c r="AV37" s="126"/>
      <c r="AW37" s="126">
        <v>95.8</v>
      </c>
      <c r="AX37" s="126"/>
      <c r="AY37" s="126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>
        <v>1</v>
      </c>
      <c r="BN37" s="123">
        <v>10</v>
      </c>
      <c r="BO37" s="123">
        <v>21</v>
      </c>
      <c r="BP37" s="139">
        <v>61</v>
      </c>
      <c r="BQ37" s="139">
        <v>0</v>
      </c>
      <c r="BR37" s="123">
        <f t="shared" si="1"/>
        <v>72</v>
      </c>
      <c r="BS37" s="139"/>
      <c r="BT37" s="139"/>
      <c r="BU37" s="139"/>
      <c r="BV37" s="139"/>
      <c r="BW37" s="139"/>
      <c r="BX37" s="139"/>
      <c r="BY37" s="139"/>
      <c r="BZ37" s="139">
        <v>67.65</v>
      </c>
      <c r="CA37" s="139">
        <v>63.98</v>
      </c>
      <c r="CB37" s="139">
        <v>66.51</v>
      </c>
      <c r="CC37" s="139">
        <v>76.42</v>
      </c>
      <c r="CD37" s="139">
        <v>65.09</v>
      </c>
      <c r="CE37" s="139">
        <v>68.87</v>
      </c>
      <c r="CF37" s="139">
        <v>68.0866666666667</v>
      </c>
      <c r="CG37" s="123">
        <v>0.906</v>
      </c>
      <c r="CH37" s="123">
        <v>90.6</v>
      </c>
      <c r="CI37" s="123">
        <v>79.3433333333333</v>
      </c>
      <c r="CJ37" s="123">
        <v>0.680422613225168</v>
      </c>
      <c r="CK37" s="123">
        <v>68.0422613225168</v>
      </c>
      <c r="CL37" s="123">
        <v>0.8648</v>
      </c>
      <c r="CM37" s="123">
        <v>86.48</v>
      </c>
      <c r="CN37" s="123">
        <v>0.7534</v>
      </c>
      <c r="CO37" s="123">
        <v>75.34</v>
      </c>
      <c r="CP37" s="123">
        <v>93.54</v>
      </c>
      <c r="CQ37" s="123"/>
      <c r="CR37" s="123">
        <v>80.8505653306292</v>
      </c>
      <c r="CS37" s="123">
        <v>82.0829009444804</v>
      </c>
      <c r="CT37" s="154"/>
      <c r="CU37" s="154"/>
      <c r="CV37" s="154"/>
      <c r="CW37" s="154">
        <v>1</v>
      </c>
      <c r="CX37" s="143">
        <v>100</v>
      </c>
      <c r="CY37" s="154">
        <v>1</v>
      </c>
      <c r="CZ37" s="143">
        <v>100</v>
      </c>
      <c r="DA37" s="154">
        <v>1</v>
      </c>
      <c r="DB37" s="143">
        <v>100</v>
      </c>
      <c r="DC37" s="154">
        <v>1</v>
      </c>
      <c r="DD37" s="123">
        <v>100</v>
      </c>
      <c r="DE37" s="155"/>
      <c r="DF37" s="144">
        <v>0</v>
      </c>
      <c r="DG37" s="144">
        <v>0</v>
      </c>
      <c r="DH37" s="144">
        <v>0</v>
      </c>
      <c r="DI37" s="144">
        <v>0</v>
      </c>
      <c r="DJ37" s="143">
        <v>0</v>
      </c>
      <c r="DK37" s="144"/>
      <c r="DL37" s="144">
        <v>0</v>
      </c>
      <c r="DM37" s="123">
        <v>0</v>
      </c>
      <c r="DN37" s="154"/>
      <c r="DO37" s="154">
        <v>0</v>
      </c>
      <c r="DP37" s="143">
        <v>0</v>
      </c>
      <c r="DQ37" s="154"/>
      <c r="DR37" s="154">
        <v>2</v>
      </c>
      <c r="DS37" s="145">
        <v>1</v>
      </c>
      <c r="DT37" s="143">
        <v>100</v>
      </c>
      <c r="DU37" s="154">
        <v>0</v>
      </c>
      <c r="DV37" s="146">
        <v>0</v>
      </c>
      <c r="DW37" s="146">
        <v>1</v>
      </c>
      <c r="DX37" s="147">
        <v>100</v>
      </c>
      <c r="DY37" s="147">
        <v>66.6666666666667</v>
      </c>
      <c r="DZ37" s="157">
        <v>4</v>
      </c>
      <c r="EA37" s="126"/>
      <c r="EB37" s="126"/>
      <c r="EC37" s="123">
        <v>2</v>
      </c>
      <c r="ED37" s="123">
        <v>100</v>
      </c>
      <c r="EE37" s="123"/>
      <c r="EF37" s="123"/>
      <c r="EG37" s="123"/>
      <c r="EH37">
        <v>516</v>
      </c>
      <c r="EI37" s="123"/>
      <c r="EJ37" s="123">
        <v>489</v>
      </c>
      <c r="EK37" s="123"/>
      <c r="EL37" s="123"/>
      <c r="EM37" s="150"/>
      <c r="EN37" s="150"/>
      <c r="EO37" s="150"/>
      <c r="EP37" s="150"/>
      <c r="EQ37" s="216" t="s">
        <v>442</v>
      </c>
      <c r="ER37" s="123">
        <v>72.3863636363636</v>
      </c>
      <c r="ES37" s="123">
        <v>0.67</v>
      </c>
      <c r="ET37" s="123">
        <v>0.5</v>
      </c>
      <c r="EU37" s="123">
        <v>72.3</v>
      </c>
      <c r="EV37" s="123">
        <v>63.1</v>
      </c>
      <c r="EW37" s="123"/>
      <c r="EX37" s="123"/>
      <c r="EY37" s="123">
        <v>0.5</v>
      </c>
      <c r="EZ37" s="123">
        <v>0.49</v>
      </c>
      <c r="FA37" s="123">
        <v>31</v>
      </c>
      <c r="FB37" s="123">
        <v>43.3333333333333</v>
      </c>
      <c r="FC37" s="123">
        <v>0.63</v>
      </c>
      <c r="FD37" s="123">
        <v>0.2</v>
      </c>
      <c r="FE37" s="123">
        <v>0.21</v>
      </c>
      <c r="FF37" s="123">
        <v>0.38</v>
      </c>
      <c r="FG37" s="123">
        <v>0.39</v>
      </c>
      <c r="FH37" s="123">
        <v>0.5</v>
      </c>
      <c r="FI37" s="123">
        <v>0.31</v>
      </c>
      <c r="FJ37" s="123">
        <v>0.25</v>
      </c>
      <c r="FK37" s="123">
        <v>0.44</v>
      </c>
      <c r="FL37" s="123">
        <v>0.25</v>
      </c>
      <c r="FM37" s="123">
        <v>0.49</v>
      </c>
      <c r="FN37" s="123">
        <v>0.24</v>
      </c>
      <c r="FO37" s="123">
        <v>0.23</v>
      </c>
      <c r="FP37" s="123">
        <v>0.32</v>
      </c>
      <c r="FQ37" s="123">
        <v>0.33</v>
      </c>
      <c r="FR37" s="123">
        <v>34.4666666666667</v>
      </c>
      <c r="FS37" s="123">
        <v>0.51</v>
      </c>
      <c r="FT37" s="149">
        <v>0.58</v>
      </c>
      <c r="FU37" s="150">
        <v>54.5</v>
      </c>
      <c r="FV37" s="150"/>
      <c r="FW37" s="123"/>
      <c r="FX37" s="151"/>
      <c r="FY37" s="151"/>
      <c r="FZ37" s="151"/>
      <c r="GA37" s="151">
        <v>6.91453</v>
      </c>
      <c r="GB37" s="123">
        <v>0.144622989559666</v>
      </c>
      <c r="GC37" s="123"/>
      <c r="GD37" s="123">
        <v>14.4622989559666</v>
      </c>
      <c r="GE37" s="123">
        <v>1</v>
      </c>
      <c r="GF37" s="123">
        <v>1</v>
      </c>
      <c r="GG37" s="126">
        <v>100</v>
      </c>
      <c r="GH37" s="123">
        <v>7.71</v>
      </c>
      <c r="GI37" s="123"/>
      <c r="GJ37" s="123"/>
      <c r="GK37" s="123">
        <v>71.28</v>
      </c>
      <c r="GL37" s="123">
        <v>71.28</v>
      </c>
      <c r="GM37" s="123">
        <v>96.45</v>
      </c>
      <c r="GN37" s="123">
        <v>96.45</v>
      </c>
      <c r="GO37" s="123"/>
      <c r="GP37" s="123"/>
      <c r="GQ37" s="123">
        <v>2</v>
      </c>
      <c r="GR37" s="123"/>
      <c r="GS37" s="123"/>
      <c r="GT37" s="123"/>
      <c r="GU37" s="123"/>
      <c r="GV37" s="123">
        <v>14037</v>
      </c>
      <c r="GW37" s="123"/>
      <c r="GX37" s="123"/>
      <c r="GY37" s="123"/>
      <c r="GZ37" s="123"/>
      <c r="HA37" s="123">
        <v>49</v>
      </c>
      <c r="HB37" s="123"/>
      <c r="HC37" s="123"/>
      <c r="HD37" s="123"/>
      <c r="HE37" s="123"/>
      <c r="HF37" s="123">
        <v>30</v>
      </c>
      <c r="HG37" s="123"/>
      <c r="HH37" s="123"/>
      <c r="HI37" s="123"/>
      <c r="HJ37" s="123"/>
      <c r="HK37" s="123">
        <v>20</v>
      </c>
    </row>
    <row r="38" s="123" customFormat="1" ht="15" spans="1:219">
      <c r="A38" s="137" t="s">
        <v>443</v>
      </c>
      <c r="B38" s="138" t="s">
        <v>444</v>
      </c>
      <c r="C38" s="138" t="s">
        <v>444</v>
      </c>
      <c r="D38" s="138" t="s">
        <v>292</v>
      </c>
      <c r="E38" s="139" t="s">
        <v>293</v>
      </c>
      <c r="F38" s="138" t="s">
        <v>445</v>
      </c>
      <c r="G38" s="140"/>
      <c r="H38" s="141">
        <v>10569709</v>
      </c>
      <c r="I38" s="142">
        <v>26.1232025901485</v>
      </c>
      <c r="J38" s="139">
        <v>610117791237.089</v>
      </c>
      <c r="K38" s="126">
        <v>87.4702494647018</v>
      </c>
      <c r="L38" s="123">
        <v>1502</v>
      </c>
      <c r="M38" s="123">
        <v>1502</v>
      </c>
      <c r="N38" s="123"/>
      <c r="O38" s="123"/>
      <c r="P38" s="123"/>
      <c r="Q38" s="123"/>
      <c r="R38" s="123">
        <v>2257</v>
      </c>
      <c r="S38" s="123"/>
      <c r="T38" s="123"/>
      <c r="U38" s="123"/>
      <c r="V38" s="123"/>
      <c r="W38" s="123">
        <v>2</v>
      </c>
      <c r="X38" s="123"/>
      <c r="Y38" s="123"/>
      <c r="Z38" s="123"/>
      <c r="AA38" s="123"/>
      <c r="AB38" s="123">
        <v>0</v>
      </c>
      <c r="AC38" s="153"/>
      <c r="AD38" s="153"/>
      <c r="AE38" s="153"/>
      <c r="AF38" s="153"/>
      <c r="AG38" s="153"/>
      <c r="AH38" s="153"/>
      <c r="AI38" s="153">
        <v>103</v>
      </c>
      <c r="AJ38" s="126"/>
      <c r="AK38" s="126"/>
      <c r="AL38" s="126"/>
      <c r="AM38" s="126"/>
      <c r="AN38" s="123">
        <v>69449.91</v>
      </c>
      <c r="AO38" s="123"/>
      <c r="AP38" s="123"/>
      <c r="AQ38" s="123"/>
      <c r="AR38" s="123">
        <v>98505.836</v>
      </c>
      <c r="AS38" s="126"/>
      <c r="AT38" s="126"/>
      <c r="AU38" s="126"/>
      <c r="AV38" s="126"/>
      <c r="AW38" s="126">
        <v>95.3</v>
      </c>
      <c r="AX38" s="142"/>
      <c r="AY38" s="142"/>
      <c r="AZ38" s="150">
        <v>4.34</v>
      </c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>
        <v>2</v>
      </c>
      <c r="BN38" s="123">
        <v>9</v>
      </c>
      <c r="BO38" s="123">
        <v>14</v>
      </c>
      <c r="BP38" s="139">
        <v>23</v>
      </c>
      <c r="BQ38" s="139">
        <v>1</v>
      </c>
      <c r="BR38" s="123">
        <f t="shared" si="1"/>
        <v>35</v>
      </c>
      <c r="BS38" s="139"/>
      <c r="BT38" s="139"/>
      <c r="BU38" s="139"/>
      <c r="BV38" s="139"/>
      <c r="BW38" s="139"/>
      <c r="BX38" s="139"/>
      <c r="BY38" s="139"/>
      <c r="BZ38" s="139">
        <v>97.06</v>
      </c>
      <c r="CA38" s="139">
        <v>73.46</v>
      </c>
      <c r="CB38" s="139">
        <v>94.81</v>
      </c>
      <c r="CC38" s="139">
        <v>95.28</v>
      </c>
      <c r="CD38" s="139">
        <v>93.4</v>
      </c>
      <c r="CE38" s="139">
        <v>97.64</v>
      </c>
      <c r="CF38" s="139">
        <v>91.9416666666667</v>
      </c>
      <c r="CG38" s="123">
        <v>0.959</v>
      </c>
      <c r="CH38" s="123">
        <v>95.9</v>
      </c>
      <c r="CI38" s="123">
        <v>93.9208333333333</v>
      </c>
      <c r="CJ38" s="123">
        <v>0.752102795936843</v>
      </c>
      <c r="CK38" s="123">
        <v>75.2102795936843</v>
      </c>
      <c r="CL38" s="123">
        <v>0.93262</v>
      </c>
      <c r="CM38" s="123">
        <v>93.262</v>
      </c>
      <c r="CN38" s="123">
        <v>0.7945</v>
      </c>
      <c r="CO38" s="123">
        <v>79.45</v>
      </c>
      <c r="CP38" s="123">
        <v>99.31</v>
      </c>
      <c r="CQ38" s="123"/>
      <c r="CR38" s="123">
        <v>86.8080698984211</v>
      </c>
      <c r="CS38" s="123">
        <v>85.7413298658858</v>
      </c>
      <c r="CT38" s="154"/>
      <c r="CU38" s="154"/>
      <c r="CV38" s="154"/>
      <c r="CW38" s="154">
        <v>1</v>
      </c>
      <c r="CX38" s="143">
        <v>100</v>
      </c>
      <c r="CY38" s="154">
        <v>0</v>
      </c>
      <c r="CZ38" s="143">
        <v>0</v>
      </c>
      <c r="DA38" s="154">
        <v>1</v>
      </c>
      <c r="DB38" s="143">
        <v>100</v>
      </c>
      <c r="DC38" s="154">
        <v>1</v>
      </c>
      <c r="DD38" s="123">
        <v>100</v>
      </c>
      <c r="DE38" s="155"/>
      <c r="DF38" s="144">
        <v>1</v>
      </c>
      <c r="DG38" s="144">
        <v>100</v>
      </c>
      <c r="DH38" s="144">
        <v>100</v>
      </c>
      <c r="DI38" s="144">
        <v>0</v>
      </c>
      <c r="DJ38" s="143">
        <v>0</v>
      </c>
      <c r="DK38" s="144"/>
      <c r="DL38" s="144">
        <v>0</v>
      </c>
      <c r="DM38" s="123">
        <v>0</v>
      </c>
      <c r="DN38" s="154"/>
      <c r="DO38" s="154">
        <v>0</v>
      </c>
      <c r="DP38" s="143">
        <v>0</v>
      </c>
      <c r="DQ38" s="154"/>
      <c r="DR38" s="154">
        <v>2</v>
      </c>
      <c r="DS38" s="145">
        <v>1</v>
      </c>
      <c r="DT38" s="143">
        <v>100</v>
      </c>
      <c r="DU38" s="154">
        <v>0</v>
      </c>
      <c r="DV38" s="146">
        <v>0</v>
      </c>
      <c r="DW38" s="146">
        <v>1</v>
      </c>
      <c r="DX38" s="147">
        <v>100</v>
      </c>
      <c r="DY38" s="147">
        <v>66.6666666666667</v>
      </c>
      <c r="DZ38" s="157">
        <v>3</v>
      </c>
      <c r="EA38" s="126"/>
      <c r="EB38" s="126"/>
      <c r="EC38" s="123">
        <v>2</v>
      </c>
      <c r="ED38" s="123">
        <v>100</v>
      </c>
      <c r="EE38" s="123"/>
      <c r="EF38" s="123"/>
      <c r="EG38" s="123"/>
      <c r="EH38">
        <v>502</v>
      </c>
      <c r="EI38" s="123"/>
      <c r="EJ38" s="123">
        <v>482</v>
      </c>
      <c r="EK38" s="123"/>
      <c r="EL38" s="123"/>
      <c r="EM38" s="150"/>
      <c r="EN38" s="150"/>
      <c r="EO38" s="150"/>
      <c r="EP38" s="150"/>
      <c r="EQ38" s="216" t="s">
        <v>442</v>
      </c>
      <c r="ER38" s="123">
        <v>72.3863636363636</v>
      </c>
      <c r="ES38" s="123">
        <v>0.65</v>
      </c>
      <c r="ET38" s="123">
        <v>0.43</v>
      </c>
      <c r="EU38" s="123"/>
      <c r="EV38" s="123">
        <v>54</v>
      </c>
      <c r="EW38" s="123"/>
      <c r="EX38" s="123"/>
      <c r="EY38" s="123">
        <v>0.43</v>
      </c>
      <c r="EZ38" s="123">
        <v>0.34</v>
      </c>
      <c r="FA38" s="123"/>
      <c r="FB38" s="123">
        <v>38.5</v>
      </c>
      <c r="FC38" s="123">
        <v>0.58</v>
      </c>
      <c r="FD38" s="123">
        <v>0.15</v>
      </c>
      <c r="FE38" s="123">
        <v>0.2</v>
      </c>
      <c r="FF38" s="123">
        <v>0.36</v>
      </c>
      <c r="FG38" s="123">
        <v>0.35</v>
      </c>
      <c r="FH38" s="123">
        <v>0.42</v>
      </c>
      <c r="FI38" s="123">
        <v>0.39</v>
      </c>
      <c r="FJ38" s="123">
        <v>0.23</v>
      </c>
      <c r="FK38" s="123">
        <v>0.51</v>
      </c>
      <c r="FL38" s="123">
        <v>0.31</v>
      </c>
      <c r="FM38" s="123">
        <v>0.46</v>
      </c>
      <c r="FN38" s="123">
        <v>0.2</v>
      </c>
      <c r="FO38" s="123">
        <v>0.24</v>
      </c>
      <c r="FP38" s="123">
        <v>0.21</v>
      </c>
      <c r="FQ38" s="123">
        <v>0.4</v>
      </c>
      <c r="FR38" s="123">
        <v>33.4</v>
      </c>
      <c r="FS38" s="123">
        <v>0.29</v>
      </c>
      <c r="FT38" s="149">
        <v>0.28</v>
      </c>
      <c r="FU38" s="150">
        <v>28.5</v>
      </c>
      <c r="FV38" s="150"/>
      <c r="FW38" s="123"/>
      <c r="FX38" s="151"/>
      <c r="FY38" s="151"/>
      <c r="FZ38" s="151"/>
      <c r="GA38" s="151">
        <v>3.747664</v>
      </c>
      <c r="GB38" s="123">
        <v>0.26683288576564</v>
      </c>
      <c r="GC38" s="123"/>
      <c r="GD38" s="123">
        <v>26.683288576564</v>
      </c>
      <c r="GE38" s="123">
        <v>1</v>
      </c>
      <c r="GF38" s="123">
        <v>1</v>
      </c>
      <c r="GG38" s="126">
        <v>100</v>
      </c>
      <c r="GH38" s="123">
        <v>4.9</v>
      </c>
      <c r="GI38" s="123"/>
      <c r="GJ38" s="123"/>
      <c r="GK38" s="123">
        <v>96.22</v>
      </c>
      <c r="GL38" s="123">
        <v>96.22</v>
      </c>
      <c r="GM38" s="123">
        <v>99.51</v>
      </c>
      <c r="GN38" s="123">
        <v>99.51</v>
      </c>
      <c r="GO38" s="123"/>
      <c r="GP38" s="123"/>
      <c r="GQ38" s="123">
        <v>1</v>
      </c>
      <c r="GR38" s="123"/>
      <c r="GS38" s="123">
        <v>1</v>
      </c>
      <c r="GT38" s="123"/>
      <c r="GU38" s="123"/>
      <c r="GV38" s="123">
        <v>8865</v>
      </c>
      <c r="GW38" s="123"/>
      <c r="GX38" s="123"/>
      <c r="GY38" s="123"/>
      <c r="GZ38" s="123"/>
      <c r="HA38" s="123">
        <v>169</v>
      </c>
      <c r="HB38" s="123"/>
      <c r="HC38" s="123"/>
      <c r="HD38" s="123"/>
      <c r="HE38" s="123"/>
      <c r="HF38" s="123">
        <v>80</v>
      </c>
      <c r="HG38" s="123"/>
      <c r="HH38" s="123"/>
      <c r="HI38" s="123"/>
      <c r="HJ38" s="123"/>
      <c r="HK38" s="123">
        <v>84</v>
      </c>
    </row>
    <row r="39" s="123" customFormat="1" ht="15" spans="1:219">
      <c r="A39" s="137" t="s">
        <v>446</v>
      </c>
      <c r="B39" s="138" t="s">
        <v>447</v>
      </c>
      <c r="C39" s="138" t="s">
        <v>447</v>
      </c>
      <c r="D39" s="138" t="s">
        <v>292</v>
      </c>
      <c r="E39" s="139" t="s">
        <v>293</v>
      </c>
      <c r="F39" s="138" t="s">
        <v>448</v>
      </c>
      <c r="G39" s="140"/>
      <c r="H39" s="141">
        <v>9034102</v>
      </c>
      <c r="I39" s="142">
        <v>22.3279256568053</v>
      </c>
      <c r="J39" s="139">
        <v>936564198048.516</v>
      </c>
      <c r="K39" s="126">
        <v>134.271619709542</v>
      </c>
      <c r="L39" s="123">
        <v>2737</v>
      </c>
      <c r="M39" s="123">
        <v>2737</v>
      </c>
      <c r="N39" s="123"/>
      <c r="O39" s="123"/>
      <c r="P39" s="123"/>
      <c r="Q39" s="123"/>
      <c r="R39" s="123">
        <v>4174</v>
      </c>
      <c r="S39" s="123"/>
      <c r="T39" s="123"/>
      <c r="U39" s="123"/>
      <c r="V39" s="123"/>
      <c r="W39" s="123">
        <v>0</v>
      </c>
      <c r="X39" s="150"/>
      <c r="Y39" s="150"/>
      <c r="Z39" s="150"/>
      <c r="AA39" s="150"/>
      <c r="AB39" s="150">
        <v>56</v>
      </c>
      <c r="AC39" s="153"/>
      <c r="AD39" s="153"/>
      <c r="AE39" s="153"/>
      <c r="AF39" s="153"/>
      <c r="AG39" s="153"/>
      <c r="AH39" s="153"/>
      <c r="AI39" s="153">
        <v>117</v>
      </c>
      <c r="AJ39" s="126"/>
      <c r="AK39" s="126"/>
      <c r="AL39" s="126"/>
      <c r="AM39" s="126"/>
      <c r="AN39" s="123">
        <v>471168.6</v>
      </c>
      <c r="AO39" s="123"/>
      <c r="AP39" s="123"/>
      <c r="AQ39" s="123"/>
      <c r="AR39" s="123">
        <v>628264.76</v>
      </c>
      <c r="AS39" s="126"/>
      <c r="AT39" s="126"/>
      <c r="AU39" s="126"/>
      <c r="AV39" s="126"/>
      <c r="AW39" s="126">
        <v>92.4</v>
      </c>
      <c r="AX39" s="126"/>
      <c r="AY39" s="126"/>
      <c r="AZ39" s="123"/>
      <c r="BA39" s="123"/>
      <c r="BB39" s="123"/>
      <c r="BC39" s="123"/>
      <c r="BD39" s="123"/>
      <c r="BE39" s="123">
        <v>22</v>
      </c>
      <c r="BF39" s="123"/>
      <c r="BG39" s="123"/>
      <c r="BH39" s="123"/>
      <c r="BI39" s="123"/>
      <c r="BJ39" s="123"/>
      <c r="BK39" s="123"/>
      <c r="BL39" s="123"/>
      <c r="BM39" s="123">
        <v>1</v>
      </c>
      <c r="BN39" s="123">
        <v>7</v>
      </c>
      <c r="BO39" s="123">
        <v>18</v>
      </c>
      <c r="BP39" s="139">
        <v>56</v>
      </c>
      <c r="BQ39" s="139">
        <v>2</v>
      </c>
      <c r="BR39" s="123">
        <f t="shared" si="1"/>
        <v>66</v>
      </c>
      <c r="BS39" s="139"/>
      <c r="BT39" s="139"/>
      <c r="BU39" s="139"/>
      <c r="BV39" s="139"/>
      <c r="BW39" s="139"/>
      <c r="BX39" s="139"/>
      <c r="BY39" s="139"/>
      <c r="BZ39" s="139">
        <v>99.02</v>
      </c>
      <c r="CA39" s="139">
        <v>88.63</v>
      </c>
      <c r="CB39" s="139">
        <v>99.53</v>
      </c>
      <c r="CC39" s="139">
        <v>95.75</v>
      </c>
      <c r="CD39" s="139">
        <v>98.58</v>
      </c>
      <c r="CE39" s="139">
        <v>97.17</v>
      </c>
      <c r="CF39" s="139">
        <v>96.4466666666667</v>
      </c>
      <c r="CG39" s="123">
        <v>0.97</v>
      </c>
      <c r="CH39" s="123">
        <v>97</v>
      </c>
      <c r="CI39" s="123">
        <v>96.7233333333334</v>
      </c>
      <c r="CJ39" s="123">
        <v>0.756734821680612</v>
      </c>
      <c r="CK39" s="123">
        <v>75.6734821680612</v>
      </c>
      <c r="CL39" s="123">
        <v>0.90035</v>
      </c>
      <c r="CM39" s="123">
        <v>90.035</v>
      </c>
      <c r="CN39" s="123">
        <v>0.8219</v>
      </c>
      <c r="CO39" s="123">
        <v>82.19</v>
      </c>
      <c r="CP39" s="123">
        <v>91.26</v>
      </c>
      <c r="CQ39" s="123"/>
      <c r="CR39" s="123">
        <v>84.7896205420153</v>
      </c>
      <c r="CS39" s="123">
        <v>79.1552074561876</v>
      </c>
      <c r="CT39" s="154"/>
      <c r="CU39" s="154"/>
      <c r="CV39" s="154"/>
      <c r="CW39" s="154">
        <v>1</v>
      </c>
      <c r="CX39" s="143">
        <v>100</v>
      </c>
      <c r="CY39" s="154">
        <v>1</v>
      </c>
      <c r="CZ39" s="143">
        <v>100</v>
      </c>
      <c r="DA39" s="154">
        <v>1</v>
      </c>
      <c r="DB39" s="143">
        <v>100</v>
      </c>
      <c r="DC39" s="154">
        <v>1</v>
      </c>
      <c r="DD39" s="123">
        <v>100</v>
      </c>
      <c r="DE39" s="155"/>
      <c r="DF39" s="144">
        <v>0</v>
      </c>
      <c r="DG39" s="144">
        <v>0</v>
      </c>
      <c r="DH39" s="144">
        <v>0</v>
      </c>
      <c r="DI39" s="144">
        <v>1</v>
      </c>
      <c r="DJ39" s="143">
        <v>100</v>
      </c>
      <c r="DK39" s="144"/>
      <c r="DL39" s="144">
        <v>0</v>
      </c>
      <c r="DM39" s="123">
        <v>0</v>
      </c>
      <c r="DN39" s="154"/>
      <c r="DO39" s="154">
        <v>0</v>
      </c>
      <c r="DP39" s="143">
        <v>0</v>
      </c>
      <c r="DQ39" s="154"/>
      <c r="DR39" s="154">
        <v>0</v>
      </c>
      <c r="DS39" s="145">
        <v>0</v>
      </c>
      <c r="DT39" s="143">
        <v>0</v>
      </c>
      <c r="DU39" s="154">
        <v>0</v>
      </c>
      <c r="DV39" s="146">
        <v>0</v>
      </c>
      <c r="DW39" s="146">
        <v>1</v>
      </c>
      <c r="DX39" s="147">
        <v>100</v>
      </c>
      <c r="DY39" s="147">
        <v>33.3333333333333</v>
      </c>
      <c r="DZ39" s="157">
        <v>7</v>
      </c>
      <c r="EA39" s="126"/>
      <c r="EB39" s="126"/>
      <c r="EC39" s="123">
        <v>2</v>
      </c>
      <c r="ED39" s="123">
        <v>100</v>
      </c>
      <c r="EE39" s="123"/>
      <c r="EF39" s="123"/>
      <c r="EG39" s="123"/>
      <c r="EH39">
        <v>515</v>
      </c>
      <c r="EI39" s="123"/>
      <c r="EJ39" s="123">
        <v>508</v>
      </c>
      <c r="EK39" s="123"/>
      <c r="EL39" s="123">
        <v>0.5</v>
      </c>
      <c r="EM39" s="150"/>
      <c r="EN39" s="150"/>
      <c r="EO39" s="150"/>
      <c r="EP39" s="150"/>
      <c r="EQ39" s="216" t="s">
        <v>449</v>
      </c>
      <c r="ER39" s="123">
        <v>80.2954545454545</v>
      </c>
      <c r="ES39" s="123">
        <v>0.58</v>
      </c>
      <c r="ET39" s="123">
        <v>0.43</v>
      </c>
      <c r="EU39" s="123">
        <v>71.65</v>
      </c>
      <c r="EV39" s="123">
        <v>57.55</v>
      </c>
      <c r="EW39" s="123"/>
      <c r="EX39" s="123"/>
      <c r="EY39" s="123">
        <v>0.45</v>
      </c>
      <c r="EZ39" s="123">
        <v>0.44</v>
      </c>
      <c r="FA39" s="123">
        <v>25.1</v>
      </c>
      <c r="FB39" s="123">
        <v>38.0333333333333</v>
      </c>
      <c r="FC39" s="123">
        <v>0.61</v>
      </c>
      <c r="FD39" s="123">
        <v>0.23</v>
      </c>
      <c r="FE39" s="123">
        <v>0.24</v>
      </c>
      <c r="FF39" s="123">
        <v>0.43</v>
      </c>
      <c r="FG39" s="123">
        <v>0.37</v>
      </c>
      <c r="FH39" s="123">
        <v>0.46</v>
      </c>
      <c r="FI39" s="123">
        <v>0.35</v>
      </c>
      <c r="FJ39" s="123">
        <v>0.29</v>
      </c>
      <c r="FK39" s="123">
        <v>0.51</v>
      </c>
      <c r="FL39" s="123">
        <v>0.33</v>
      </c>
      <c r="FM39" s="123">
        <v>0.46</v>
      </c>
      <c r="FN39" s="123">
        <v>0.25</v>
      </c>
      <c r="FO39" s="123">
        <v>0.28</v>
      </c>
      <c r="FP39" s="123">
        <v>0.32</v>
      </c>
      <c r="FQ39" s="123">
        <v>0.32</v>
      </c>
      <c r="FR39" s="123">
        <v>36.3333333333333</v>
      </c>
      <c r="FS39" s="123">
        <v>0.41</v>
      </c>
      <c r="FT39" s="149">
        <v>0.49</v>
      </c>
      <c r="FU39" s="150">
        <v>45</v>
      </c>
      <c r="FV39" s="150"/>
      <c r="FW39" s="123"/>
      <c r="FX39" s="151"/>
      <c r="FY39" s="151"/>
      <c r="FZ39" s="151"/>
      <c r="GA39" s="151">
        <v>3.852185</v>
      </c>
      <c r="GB39" s="123">
        <v>0.259592932322825</v>
      </c>
      <c r="GC39" s="123"/>
      <c r="GD39" s="123">
        <v>25.9592932322825</v>
      </c>
      <c r="GE39" s="123">
        <v>1</v>
      </c>
      <c r="GF39" s="123">
        <v>1</v>
      </c>
      <c r="GG39" s="126">
        <v>100</v>
      </c>
      <c r="GH39" s="123">
        <v>14.33</v>
      </c>
      <c r="GI39" s="123"/>
      <c r="GJ39" s="123"/>
      <c r="GK39" s="123">
        <v>97.86</v>
      </c>
      <c r="GL39" s="123">
        <v>97.86</v>
      </c>
      <c r="GM39" s="123"/>
      <c r="GN39" s="123"/>
      <c r="GO39" s="123"/>
      <c r="GP39" s="123"/>
      <c r="GQ39" s="123">
        <v>21</v>
      </c>
      <c r="GR39" s="123"/>
      <c r="GS39" s="123">
        <v>6</v>
      </c>
      <c r="GT39" s="123"/>
      <c r="GU39" s="123"/>
      <c r="GV39" s="123">
        <v>15048</v>
      </c>
      <c r="GW39" s="123"/>
      <c r="GX39" s="123"/>
      <c r="GY39" s="123"/>
      <c r="GZ39" s="123"/>
      <c r="HA39" s="123">
        <v>260</v>
      </c>
      <c r="HB39" s="123"/>
      <c r="HC39" s="123"/>
      <c r="HD39" s="123"/>
      <c r="HE39" s="123"/>
      <c r="HF39" s="123">
        <v>126</v>
      </c>
      <c r="HG39" s="123"/>
      <c r="HH39" s="123"/>
      <c r="HI39" s="123"/>
      <c r="HJ39" s="123"/>
      <c r="HK39" s="123">
        <v>77</v>
      </c>
    </row>
    <row r="40" s="123" customFormat="1" ht="15" spans="1:219">
      <c r="A40" s="137" t="s">
        <v>450</v>
      </c>
      <c r="B40" s="138" t="s">
        <v>451</v>
      </c>
      <c r="C40" s="138" t="s">
        <v>451</v>
      </c>
      <c r="D40" s="138" t="s">
        <v>324</v>
      </c>
      <c r="E40" s="139" t="s">
        <v>325</v>
      </c>
      <c r="F40" s="138" t="s">
        <v>452</v>
      </c>
      <c r="G40" s="140"/>
      <c r="H40" s="141">
        <v>34217848</v>
      </c>
      <c r="I40" s="142">
        <v>84.5699513111391</v>
      </c>
      <c r="J40" s="139">
        <v>289221969059.853</v>
      </c>
      <c r="K40" s="126">
        <v>41.4646452663545</v>
      </c>
      <c r="L40" s="123">
        <v>36</v>
      </c>
      <c r="M40" s="123">
        <v>36</v>
      </c>
      <c r="N40" s="123"/>
      <c r="O40" s="123"/>
      <c r="P40" s="123"/>
      <c r="Q40" s="123"/>
      <c r="R40" s="123">
        <v>50</v>
      </c>
      <c r="S40" s="123"/>
      <c r="T40" s="123"/>
      <c r="U40" s="123"/>
      <c r="V40" s="123"/>
      <c r="W40" s="123">
        <v>0</v>
      </c>
      <c r="X40" s="123"/>
      <c r="Y40" s="123"/>
      <c r="Z40" s="123"/>
      <c r="AA40" s="123"/>
      <c r="AB40" s="123">
        <v>0</v>
      </c>
      <c r="AC40" s="153"/>
      <c r="AD40" s="153"/>
      <c r="AE40" s="153"/>
      <c r="AF40" s="153"/>
      <c r="AG40" s="153"/>
      <c r="AH40" s="153"/>
      <c r="AI40" s="153">
        <v>14</v>
      </c>
      <c r="AJ40" s="126"/>
      <c r="AK40" s="126"/>
      <c r="AL40" s="126"/>
      <c r="AM40" s="126"/>
      <c r="AN40" s="123"/>
      <c r="AO40" s="123"/>
      <c r="AP40" s="123"/>
      <c r="AQ40" s="123"/>
      <c r="AR40" s="123"/>
      <c r="AS40" s="126"/>
      <c r="AT40" s="126"/>
      <c r="AU40" s="126"/>
      <c r="AV40" s="126"/>
      <c r="AW40" s="126">
        <v>76.4</v>
      </c>
      <c r="AX40" s="126"/>
      <c r="AY40" s="126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>
        <v>0</v>
      </c>
      <c r="BN40" s="123">
        <v>1</v>
      </c>
      <c r="BO40" s="123">
        <v>4</v>
      </c>
      <c r="BP40" s="139">
        <v>7</v>
      </c>
      <c r="BQ40" s="139">
        <v>0</v>
      </c>
      <c r="BR40" s="123">
        <f t="shared" si="1"/>
        <v>8</v>
      </c>
      <c r="BS40" s="139"/>
      <c r="BT40" s="139"/>
      <c r="BU40" s="139"/>
      <c r="BV40" s="139"/>
      <c r="BW40" s="139"/>
      <c r="BX40" s="139"/>
      <c r="BY40" s="139"/>
      <c r="BZ40" s="139">
        <v>49.51</v>
      </c>
      <c r="CA40" s="139">
        <v>24.17</v>
      </c>
      <c r="CB40" s="139">
        <v>33.02</v>
      </c>
      <c r="CC40" s="139">
        <v>60.38</v>
      </c>
      <c r="CD40" s="139">
        <v>30.19</v>
      </c>
      <c r="CE40" s="139">
        <v>25.47</v>
      </c>
      <c r="CF40" s="139">
        <v>37.1233333333333</v>
      </c>
      <c r="CG40" s="123">
        <v>0.794</v>
      </c>
      <c r="CH40" s="123">
        <v>79.4</v>
      </c>
      <c r="CI40" s="123">
        <v>58.2616666666667</v>
      </c>
      <c r="CJ40" s="123">
        <v>0.878696040895879</v>
      </c>
      <c r="CK40" s="123">
        <v>87.8696040895879</v>
      </c>
      <c r="CL40" s="123">
        <v>0.807</v>
      </c>
      <c r="CM40" s="123">
        <v>80.7</v>
      </c>
      <c r="CN40" s="123">
        <v>0.7534</v>
      </c>
      <c r="CO40" s="123">
        <v>75.34</v>
      </c>
      <c r="CP40" s="123">
        <v>83.74</v>
      </c>
      <c r="CQ40" s="123">
        <v>55.31</v>
      </c>
      <c r="CR40" s="123">
        <v>81.912401022397</v>
      </c>
      <c r="CS40" s="123">
        <v>72.6694472391987</v>
      </c>
      <c r="CT40" s="154"/>
      <c r="CU40" s="154"/>
      <c r="CV40" s="154"/>
      <c r="CW40" s="154">
        <v>1</v>
      </c>
      <c r="CX40" s="143">
        <v>100</v>
      </c>
      <c r="CY40" s="154">
        <v>1</v>
      </c>
      <c r="CZ40" s="143">
        <v>100</v>
      </c>
      <c r="DA40" s="154">
        <v>1</v>
      </c>
      <c r="DB40" s="143">
        <v>100</v>
      </c>
      <c r="DC40" s="154">
        <v>1</v>
      </c>
      <c r="DD40" s="123">
        <v>100</v>
      </c>
      <c r="DE40" s="155"/>
      <c r="DF40" s="144">
        <v>0</v>
      </c>
      <c r="DG40" s="144">
        <v>0</v>
      </c>
      <c r="DH40" s="144">
        <v>0</v>
      </c>
      <c r="DI40" s="144">
        <v>0</v>
      </c>
      <c r="DJ40" s="143">
        <v>0</v>
      </c>
      <c r="DK40" s="144"/>
      <c r="DL40" s="144">
        <v>0</v>
      </c>
      <c r="DM40" s="123">
        <v>0</v>
      </c>
      <c r="DN40" s="154"/>
      <c r="DO40" s="154">
        <v>0</v>
      </c>
      <c r="DP40" s="143">
        <v>0</v>
      </c>
      <c r="DQ40" s="154"/>
      <c r="DR40" s="154">
        <v>1</v>
      </c>
      <c r="DS40" s="145">
        <v>1</v>
      </c>
      <c r="DT40" s="143">
        <v>100</v>
      </c>
      <c r="DU40" s="172">
        <v>0</v>
      </c>
      <c r="DV40" s="146">
        <v>0</v>
      </c>
      <c r="DW40" s="146">
        <v>1</v>
      </c>
      <c r="DX40" s="147">
        <v>100</v>
      </c>
      <c r="DY40" s="147">
        <v>66.6666666666667</v>
      </c>
      <c r="DZ40" s="157">
        <v>3</v>
      </c>
      <c r="EA40" s="126"/>
      <c r="EB40" s="126"/>
      <c r="EC40" s="123">
        <v>2</v>
      </c>
      <c r="ED40" s="123">
        <v>100</v>
      </c>
      <c r="EE40" s="123"/>
      <c r="EF40" s="123"/>
      <c r="EG40" s="123"/>
      <c r="EH40">
        <v>400</v>
      </c>
      <c r="EI40" s="123"/>
      <c r="EJ40" s="123">
        <v>391</v>
      </c>
      <c r="EK40" s="123"/>
      <c r="EL40" s="123">
        <v>1.7</v>
      </c>
      <c r="EM40" s="150"/>
      <c r="EN40" s="150"/>
      <c r="EO40" s="150"/>
      <c r="EP40" s="150"/>
      <c r="EQ40" s="216" t="s">
        <v>453</v>
      </c>
      <c r="ER40" s="123">
        <v>65.0454545454545</v>
      </c>
      <c r="ES40" s="123">
        <v>0.76</v>
      </c>
      <c r="ET40" s="123">
        <v>0.61</v>
      </c>
      <c r="EU40" s="123"/>
      <c r="EV40" s="123">
        <v>68.5</v>
      </c>
      <c r="EW40" s="123"/>
      <c r="EX40" s="123"/>
      <c r="EY40" s="123">
        <v>0.69</v>
      </c>
      <c r="EZ40" s="123">
        <v>0.66</v>
      </c>
      <c r="FA40" s="123"/>
      <c r="FB40" s="123">
        <v>67.5</v>
      </c>
      <c r="FC40" s="123">
        <v>0.71</v>
      </c>
      <c r="FD40" s="123">
        <v>0.45</v>
      </c>
      <c r="FE40" s="123">
        <v>0.27</v>
      </c>
      <c r="FF40" s="123">
        <v>0.61</v>
      </c>
      <c r="FG40" s="123">
        <v>0.23</v>
      </c>
      <c r="FH40" s="123">
        <v>0.65</v>
      </c>
      <c r="FI40" s="123">
        <v>0.23</v>
      </c>
      <c r="FJ40" s="123">
        <v>0.5</v>
      </c>
      <c r="FK40" s="123">
        <v>0.32</v>
      </c>
      <c r="FL40" s="123">
        <v>0.51</v>
      </c>
      <c r="FM40" s="123">
        <v>0.28</v>
      </c>
      <c r="FN40" s="123">
        <v>0.5</v>
      </c>
      <c r="FO40" s="123">
        <v>0.25</v>
      </c>
      <c r="FP40" s="123">
        <v>0.43</v>
      </c>
      <c r="FQ40" s="123">
        <v>0.33</v>
      </c>
      <c r="FR40" s="123">
        <v>41.8</v>
      </c>
      <c r="FS40" s="123">
        <v>0.61</v>
      </c>
      <c r="FT40" s="149">
        <v>0.71</v>
      </c>
      <c r="FU40" s="150">
        <v>66</v>
      </c>
      <c r="FV40" s="150"/>
      <c r="FW40" s="123"/>
      <c r="FX40" s="151"/>
      <c r="FY40" s="151"/>
      <c r="FZ40" s="151"/>
      <c r="GA40" s="151">
        <v>5</v>
      </c>
      <c r="GB40" s="123">
        <v>0.2</v>
      </c>
      <c r="GC40" s="123"/>
      <c r="GD40" s="123">
        <v>20</v>
      </c>
      <c r="GE40" s="123">
        <v>1</v>
      </c>
      <c r="GF40" s="123">
        <v>1</v>
      </c>
      <c r="GG40" s="126">
        <v>100</v>
      </c>
      <c r="GH40" s="123"/>
      <c r="GI40" s="123"/>
      <c r="GJ40" s="123"/>
      <c r="GK40" s="123"/>
      <c r="GL40" s="123"/>
      <c r="GM40" s="123"/>
      <c r="GN40" s="123"/>
      <c r="GO40" s="123"/>
      <c r="GP40" s="123"/>
      <c r="GQ40" s="123"/>
      <c r="GR40" s="123"/>
      <c r="GS40" s="123"/>
      <c r="GT40" s="123"/>
      <c r="GU40" s="123"/>
      <c r="GV40" s="123">
        <v>23</v>
      </c>
      <c r="GW40" s="123"/>
      <c r="GX40" s="123"/>
      <c r="GY40" s="123"/>
      <c r="GZ40" s="123"/>
      <c r="HA40" s="123">
        <v>2</v>
      </c>
      <c r="HB40" s="123"/>
      <c r="HC40" s="123"/>
      <c r="HD40" s="123"/>
      <c r="HE40" s="123"/>
      <c r="HF40" s="123"/>
      <c r="HG40" s="123"/>
      <c r="HH40" s="123"/>
      <c r="HI40" s="123"/>
      <c r="HJ40" s="123"/>
      <c r="HK40" s="123">
        <v>3</v>
      </c>
    </row>
    <row r="41" s="123" customFormat="1" ht="15" spans="1:219">
      <c r="A41" s="137" t="s">
        <v>454</v>
      </c>
      <c r="B41" s="138" t="s">
        <v>455</v>
      </c>
      <c r="C41" s="138" t="s">
        <v>455</v>
      </c>
      <c r="D41" s="138" t="s">
        <v>324</v>
      </c>
      <c r="E41" s="139" t="s">
        <v>325</v>
      </c>
      <c r="F41" s="138" t="s">
        <v>456</v>
      </c>
      <c r="G41" s="140"/>
      <c r="H41" s="141">
        <v>71668011</v>
      </c>
      <c r="I41" s="142">
        <v>177.12862015274</v>
      </c>
      <c r="J41" s="139">
        <v>526411265427.683</v>
      </c>
      <c r="K41" s="126">
        <v>75.469565663093</v>
      </c>
      <c r="L41" s="123">
        <v>176</v>
      </c>
      <c r="M41" s="123">
        <v>176</v>
      </c>
      <c r="N41" s="123"/>
      <c r="O41" s="123"/>
      <c r="P41" s="123"/>
      <c r="Q41" s="123"/>
      <c r="R41" s="123">
        <v>249</v>
      </c>
      <c r="S41" s="123"/>
      <c r="T41" s="123"/>
      <c r="U41" s="123"/>
      <c r="V41" s="123"/>
      <c r="W41" s="123">
        <v>0</v>
      </c>
      <c r="X41" s="123"/>
      <c r="Y41" s="123"/>
      <c r="Z41" s="123"/>
      <c r="AA41" s="123"/>
      <c r="AB41" s="123">
        <v>0</v>
      </c>
      <c r="AC41" s="153"/>
      <c r="AD41" s="153"/>
      <c r="AE41" s="153"/>
      <c r="AF41" s="153"/>
      <c r="AG41" s="153"/>
      <c r="AH41" s="153"/>
      <c r="AI41" s="153">
        <v>55</v>
      </c>
      <c r="AJ41" s="126"/>
      <c r="AK41" s="126"/>
      <c r="AL41" s="126"/>
      <c r="AM41" s="126"/>
      <c r="AN41" s="123">
        <v>21996</v>
      </c>
      <c r="AO41" s="123"/>
      <c r="AP41" s="123"/>
      <c r="AQ41" s="123"/>
      <c r="AR41" s="123">
        <v>35449.86</v>
      </c>
      <c r="AS41" s="126"/>
      <c r="AT41" s="126"/>
      <c r="AU41" s="126"/>
      <c r="AV41" s="126"/>
      <c r="AW41" s="126">
        <v>91</v>
      </c>
      <c r="AX41" s="126"/>
      <c r="AY41" s="126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>
        <v>3</v>
      </c>
      <c r="BN41" s="123">
        <v>10</v>
      </c>
      <c r="BO41" s="123">
        <v>2</v>
      </c>
      <c r="BP41" s="139">
        <v>6</v>
      </c>
      <c r="BQ41" s="139">
        <v>0</v>
      </c>
      <c r="BR41" s="123">
        <f t="shared" si="1"/>
        <v>19</v>
      </c>
      <c r="BS41" s="139"/>
      <c r="BT41" s="139"/>
      <c r="BU41" s="139"/>
      <c r="BV41" s="139"/>
      <c r="BW41" s="139"/>
      <c r="BX41" s="139"/>
      <c r="BY41" s="139"/>
      <c r="BZ41" s="139">
        <v>35.78</v>
      </c>
      <c r="CA41" s="139">
        <v>36.02</v>
      </c>
      <c r="CB41" s="139">
        <v>58.49</v>
      </c>
      <c r="CC41" s="139">
        <v>57.08</v>
      </c>
      <c r="CD41" s="139">
        <v>57.55</v>
      </c>
      <c r="CE41" s="139">
        <v>35.85</v>
      </c>
      <c r="CF41" s="139">
        <v>46.795</v>
      </c>
      <c r="CG41" s="123">
        <v>0.798</v>
      </c>
      <c r="CH41" s="123">
        <v>79.8</v>
      </c>
      <c r="CI41" s="123">
        <v>63.2975</v>
      </c>
      <c r="CJ41" s="123">
        <v>0.87947529880166</v>
      </c>
      <c r="CK41" s="123">
        <v>87.947529880166</v>
      </c>
      <c r="CL41" s="123">
        <v>0.8351</v>
      </c>
      <c r="CM41" s="123">
        <v>83.51</v>
      </c>
      <c r="CN41" s="123">
        <v>0.7534</v>
      </c>
      <c r="CO41" s="123">
        <v>75.34</v>
      </c>
      <c r="CP41" s="123">
        <v>99.22</v>
      </c>
      <c r="CQ41" s="123"/>
      <c r="CR41" s="123">
        <v>86.5043824700415</v>
      </c>
      <c r="CS41" s="123">
        <v>75.3420861344538</v>
      </c>
      <c r="CT41" s="154"/>
      <c r="CU41" s="154"/>
      <c r="CV41" s="154"/>
      <c r="CW41" s="154">
        <v>1</v>
      </c>
      <c r="CX41" s="143">
        <v>100</v>
      </c>
      <c r="CY41" s="154">
        <v>1</v>
      </c>
      <c r="CZ41" s="143">
        <v>100</v>
      </c>
      <c r="DA41" s="154">
        <v>1</v>
      </c>
      <c r="DB41" s="143">
        <v>100</v>
      </c>
      <c r="DC41" s="154">
        <v>1</v>
      </c>
      <c r="DD41" s="123">
        <v>100</v>
      </c>
      <c r="DE41" s="155"/>
      <c r="DF41" s="144">
        <v>0</v>
      </c>
      <c r="DG41" s="144">
        <v>0</v>
      </c>
      <c r="DH41" s="144">
        <v>0</v>
      </c>
      <c r="DI41" s="144">
        <v>1</v>
      </c>
      <c r="DJ41" s="143">
        <v>100</v>
      </c>
      <c r="DK41" s="144"/>
      <c r="DL41" s="144">
        <v>0</v>
      </c>
      <c r="DM41" s="123">
        <v>0</v>
      </c>
      <c r="DN41" s="154"/>
      <c r="DO41" s="154">
        <v>0</v>
      </c>
      <c r="DP41" s="143">
        <v>0</v>
      </c>
      <c r="DQ41" s="154"/>
      <c r="DR41" s="154">
        <v>1</v>
      </c>
      <c r="DS41" s="145">
        <v>1</v>
      </c>
      <c r="DT41" s="143">
        <v>100</v>
      </c>
      <c r="DU41" s="154">
        <v>0</v>
      </c>
      <c r="DV41" s="146">
        <v>0</v>
      </c>
      <c r="DW41" s="146">
        <v>1</v>
      </c>
      <c r="DX41" s="147">
        <v>100</v>
      </c>
      <c r="DY41" s="147">
        <v>66.6666666666667</v>
      </c>
      <c r="DZ41" s="157">
        <v>3</v>
      </c>
      <c r="EA41" s="126"/>
      <c r="EB41" s="126"/>
      <c r="EC41" s="123">
        <v>1</v>
      </c>
      <c r="ED41" s="123">
        <v>50</v>
      </c>
      <c r="EE41" s="123"/>
      <c r="EF41" s="123"/>
      <c r="EG41" s="123"/>
      <c r="EH41">
        <v>419</v>
      </c>
      <c r="EI41" s="123"/>
      <c r="EJ41" s="123">
        <v>394</v>
      </c>
      <c r="EK41" s="123"/>
      <c r="EL41" s="123">
        <v>1.1</v>
      </c>
      <c r="EM41" s="159"/>
      <c r="EN41" s="159"/>
      <c r="EO41" s="159"/>
      <c r="EP41" s="159"/>
      <c r="EQ41" s="215" t="s">
        <v>457</v>
      </c>
      <c r="ER41" s="123">
        <v>83.1590909090909</v>
      </c>
      <c r="ES41" s="123">
        <v>0.79</v>
      </c>
      <c r="ET41" s="123">
        <v>0.76</v>
      </c>
      <c r="EU41" s="123"/>
      <c r="EV41" s="123">
        <v>77.5</v>
      </c>
      <c r="EW41" s="123"/>
      <c r="EX41" s="123"/>
      <c r="EY41" s="123">
        <v>0.78</v>
      </c>
      <c r="EZ41" s="123">
        <v>0.79</v>
      </c>
      <c r="FA41" s="123"/>
      <c r="FB41" s="123">
        <v>78.5</v>
      </c>
      <c r="FC41" s="123">
        <v>0.82</v>
      </c>
      <c r="FD41" s="123">
        <v>0.51</v>
      </c>
      <c r="FE41" s="123">
        <v>0.23</v>
      </c>
      <c r="FF41" s="123">
        <v>0.75</v>
      </c>
      <c r="FG41" s="123">
        <v>0.17</v>
      </c>
      <c r="FH41" s="123">
        <v>0.69</v>
      </c>
      <c r="FI41" s="123">
        <v>0.21</v>
      </c>
      <c r="FJ41" s="123">
        <v>0.59</v>
      </c>
      <c r="FK41" s="123">
        <v>0.28</v>
      </c>
      <c r="FL41" s="123">
        <v>0.6</v>
      </c>
      <c r="FM41" s="123">
        <v>0.3</v>
      </c>
      <c r="FN41" s="123">
        <v>0.51</v>
      </c>
      <c r="FO41" s="123">
        <v>0.26</v>
      </c>
      <c r="FP41" s="123">
        <v>0.54</v>
      </c>
      <c r="FQ41" s="123">
        <v>0.26</v>
      </c>
      <c r="FR41" s="123">
        <v>44.8</v>
      </c>
      <c r="FS41" s="123">
        <v>0.7</v>
      </c>
      <c r="FT41" s="149">
        <v>0.78</v>
      </c>
      <c r="FU41" s="150">
        <v>74</v>
      </c>
      <c r="FV41" s="150"/>
      <c r="FW41" s="123"/>
      <c r="FX41" s="151"/>
      <c r="FY41" s="151"/>
      <c r="FZ41" s="151"/>
      <c r="GA41" s="151">
        <v>1.163636</v>
      </c>
      <c r="GB41" s="123">
        <v>0.859375268554772</v>
      </c>
      <c r="GC41" s="123"/>
      <c r="GD41" s="123">
        <v>85.9375268554772</v>
      </c>
      <c r="GE41" s="123">
        <v>1</v>
      </c>
      <c r="GF41" s="123">
        <v>1</v>
      </c>
      <c r="GG41" s="126">
        <v>100</v>
      </c>
      <c r="GH41" s="123"/>
      <c r="GI41" s="123"/>
      <c r="GJ41" s="123"/>
      <c r="GK41" s="123"/>
      <c r="GL41" s="123"/>
      <c r="GM41" s="123"/>
      <c r="GN41" s="123"/>
      <c r="GO41" s="123"/>
      <c r="GP41" s="123"/>
      <c r="GQ41" s="123"/>
      <c r="GR41" s="123"/>
      <c r="GS41" s="123"/>
      <c r="GT41" s="123"/>
      <c r="GU41" s="123"/>
      <c r="GV41" s="123">
        <v>2644</v>
      </c>
      <c r="GW41" s="123"/>
      <c r="GX41" s="123"/>
      <c r="GY41" s="123"/>
      <c r="GZ41" s="123"/>
      <c r="HA41" s="123">
        <v>25</v>
      </c>
      <c r="HB41" s="123"/>
      <c r="HC41" s="123"/>
      <c r="HD41" s="123"/>
      <c r="HE41" s="123"/>
      <c r="HF41" s="123">
        <v>10</v>
      </c>
      <c r="HG41" s="123"/>
      <c r="HH41" s="123"/>
      <c r="HI41" s="123"/>
      <c r="HJ41" s="123"/>
      <c r="HK41" s="123">
        <v>25</v>
      </c>
    </row>
    <row r="42" s="123" customFormat="1" ht="15" spans="1:219">
      <c r="A42" s="137" t="s">
        <v>458</v>
      </c>
      <c r="B42" s="138" t="s">
        <v>459</v>
      </c>
      <c r="C42" s="138" t="s">
        <v>459</v>
      </c>
      <c r="D42" s="138" t="s">
        <v>324</v>
      </c>
      <c r="E42" s="139" t="s">
        <v>325</v>
      </c>
      <c r="F42" s="138" t="s">
        <v>460</v>
      </c>
      <c r="G42" s="140"/>
      <c r="H42" s="141">
        <v>35557673</v>
      </c>
      <c r="I42" s="142">
        <v>87.8813499419194</v>
      </c>
      <c r="J42" s="139">
        <v>421972102253.57</v>
      </c>
      <c r="K42" s="126">
        <v>60.496523099949</v>
      </c>
      <c r="L42" s="123">
        <v>670</v>
      </c>
      <c r="M42" s="123">
        <v>670</v>
      </c>
      <c r="N42" s="123"/>
      <c r="O42" s="123"/>
      <c r="P42" s="123"/>
      <c r="Q42" s="123"/>
      <c r="R42" s="123">
        <v>997</v>
      </c>
      <c r="S42" s="123"/>
      <c r="T42" s="123"/>
      <c r="U42" s="123"/>
      <c r="V42" s="123"/>
      <c r="W42" s="123">
        <v>23</v>
      </c>
      <c r="X42" s="123"/>
      <c r="Y42" s="123"/>
      <c r="Z42" s="123"/>
      <c r="AA42" s="123"/>
      <c r="AB42" s="123">
        <v>0</v>
      </c>
      <c r="AC42" s="153"/>
      <c r="AD42" s="153"/>
      <c r="AE42" s="153"/>
      <c r="AF42" s="153"/>
      <c r="AG42" s="153"/>
      <c r="AH42" s="153"/>
      <c r="AI42" s="153">
        <v>112</v>
      </c>
      <c r="AJ42" s="126"/>
      <c r="AK42" s="126"/>
      <c r="AL42" s="126"/>
      <c r="AM42" s="126"/>
      <c r="AN42" s="123"/>
      <c r="AO42" s="123"/>
      <c r="AP42" s="123"/>
      <c r="AQ42" s="123"/>
      <c r="AR42" s="123"/>
      <c r="AS42" s="126"/>
      <c r="AT42" s="126"/>
      <c r="AU42" s="126"/>
      <c r="AV42" s="126"/>
      <c r="AW42" s="126">
        <v>95</v>
      </c>
      <c r="AX42" s="126"/>
      <c r="AY42" s="126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>
        <v>4</v>
      </c>
      <c r="BN42" s="123">
        <v>6</v>
      </c>
      <c r="BO42" s="123">
        <v>14</v>
      </c>
      <c r="BP42" s="139">
        <v>24</v>
      </c>
      <c r="BQ42" s="139">
        <v>0</v>
      </c>
      <c r="BR42" s="123">
        <f t="shared" si="1"/>
        <v>34</v>
      </c>
      <c r="BS42" s="139"/>
      <c r="BT42" s="139"/>
      <c r="BU42" s="139"/>
      <c r="BV42" s="139"/>
      <c r="BW42" s="139"/>
      <c r="BX42" s="139"/>
      <c r="BY42" s="139"/>
      <c r="BZ42" s="139">
        <v>50.98</v>
      </c>
      <c r="CA42" s="139">
        <v>50.71</v>
      </c>
      <c r="CB42" s="139">
        <v>79.72</v>
      </c>
      <c r="CC42" s="139">
        <v>73.11</v>
      </c>
      <c r="CD42" s="139">
        <v>67.45</v>
      </c>
      <c r="CE42" s="139">
        <v>61.79</v>
      </c>
      <c r="CF42" s="139">
        <v>63.96</v>
      </c>
      <c r="CG42" s="123">
        <v>0.819</v>
      </c>
      <c r="CH42" s="123">
        <v>81.9</v>
      </c>
      <c r="CI42" s="123">
        <v>72.93</v>
      </c>
      <c r="CJ42" s="123">
        <v>0.793014538612123</v>
      </c>
      <c r="CK42" s="123">
        <v>79.3014538612123</v>
      </c>
      <c r="CL42" s="123">
        <v>0.81114</v>
      </c>
      <c r="CM42" s="123">
        <v>81.114</v>
      </c>
      <c r="CN42" s="123">
        <v>0.6986</v>
      </c>
      <c r="CO42" s="123">
        <v>69.86</v>
      </c>
      <c r="CP42" s="123">
        <v>98.82</v>
      </c>
      <c r="CQ42" s="123"/>
      <c r="CR42" s="123">
        <v>82.2738634653031</v>
      </c>
      <c r="CS42" s="123">
        <v>69.5201622549019</v>
      </c>
      <c r="CT42" s="154"/>
      <c r="CU42" s="154"/>
      <c r="CV42" s="154"/>
      <c r="CW42" s="154">
        <v>1</v>
      </c>
      <c r="CX42" s="143">
        <v>100</v>
      </c>
      <c r="CY42" s="154">
        <v>1</v>
      </c>
      <c r="CZ42" s="143">
        <v>100</v>
      </c>
      <c r="DA42" s="154">
        <v>1</v>
      </c>
      <c r="DB42" s="143">
        <v>100</v>
      </c>
      <c r="DC42" s="154">
        <v>1</v>
      </c>
      <c r="DD42" s="123">
        <v>100</v>
      </c>
      <c r="DE42" s="155"/>
      <c r="DF42" s="144">
        <v>1</v>
      </c>
      <c r="DG42" s="144">
        <v>100</v>
      </c>
      <c r="DH42" s="144">
        <v>100</v>
      </c>
      <c r="DI42" s="144">
        <v>1</v>
      </c>
      <c r="DJ42" s="143">
        <v>100</v>
      </c>
      <c r="DK42" s="144"/>
      <c r="DL42" s="144">
        <v>0</v>
      </c>
      <c r="DM42" s="123">
        <v>0</v>
      </c>
      <c r="DN42" s="154"/>
      <c r="DO42" s="154">
        <v>0</v>
      </c>
      <c r="DP42" s="143">
        <v>0</v>
      </c>
      <c r="DQ42" s="154"/>
      <c r="DR42" s="154">
        <v>0</v>
      </c>
      <c r="DS42" s="145">
        <v>0</v>
      </c>
      <c r="DT42" s="143">
        <v>0</v>
      </c>
      <c r="DU42" s="154">
        <v>0</v>
      </c>
      <c r="DV42" s="146">
        <v>0</v>
      </c>
      <c r="DW42" s="146">
        <v>0</v>
      </c>
      <c r="DX42" s="147">
        <v>0</v>
      </c>
      <c r="DY42" s="147">
        <v>0</v>
      </c>
      <c r="DZ42" s="157">
        <v>3</v>
      </c>
      <c r="EA42" s="126"/>
      <c r="EB42" s="126"/>
      <c r="EC42" s="123">
        <v>2</v>
      </c>
      <c r="ED42" s="123">
        <v>100</v>
      </c>
      <c r="EE42" s="123"/>
      <c r="EF42" s="123"/>
      <c r="EG42" s="123"/>
      <c r="EH42">
        <v>440</v>
      </c>
      <c r="EI42" s="123"/>
      <c r="EJ42" s="123">
        <v>409</v>
      </c>
      <c r="EK42" s="123"/>
      <c r="EL42" s="123">
        <v>0.9</v>
      </c>
      <c r="EM42" s="159"/>
      <c r="EN42" s="159"/>
      <c r="EO42" s="159"/>
      <c r="EP42" s="159"/>
      <c r="EQ42" s="215" t="s">
        <v>461</v>
      </c>
      <c r="ER42" s="123">
        <v>65.6136363636364</v>
      </c>
      <c r="ES42" s="123">
        <v>0.7</v>
      </c>
      <c r="ET42" s="123">
        <v>0.71</v>
      </c>
      <c r="EU42" s="123"/>
      <c r="EV42" s="123">
        <v>70.5</v>
      </c>
      <c r="EW42" s="123"/>
      <c r="EX42" s="123"/>
      <c r="EY42" s="123">
        <v>0.7</v>
      </c>
      <c r="EZ42" s="123">
        <v>0.77</v>
      </c>
      <c r="FA42" s="123"/>
      <c r="FB42" s="123">
        <v>73.5</v>
      </c>
      <c r="FC42" s="123">
        <v>0.8</v>
      </c>
      <c r="FD42" s="123">
        <v>0.4</v>
      </c>
      <c r="FE42" s="123">
        <v>0.27</v>
      </c>
      <c r="FF42" s="123">
        <v>0.61</v>
      </c>
      <c r="FG42" s="123">
        <v>0.27</v>
      </c>
      <c r="FH42" s="123">
        <v>0.69</v>
      </c>
      <c r="FI42" s="123">
        <v>0.23</v>
      </c>
      <c r="FJ42" s="123">
        <v>0.5</v>
      </c>
      <c r="FK42" s="123">
        <v>0.37</v>
      </c>
      <c r="FL42" s="123">
        <v>0.54</v>
      </c>
      <c r="FM42" s="123">
        <v>0.3</v>
      </c>
      <c r="FN42" s="123">
        <v>0.45</v>
      </c>
      <c r="FO42" s="123">
        <v>0.27</v>
      </c>
      <c r="FP42" s="123">
        <v>0.54</v>
      </c>
      <c r="FQ42" s="123">
        <v>0.31</v>
      </c>
      <c r="FR42" s="123">
        <v>43.6666666666667</v>
      </c>
      <c r="FS42" s="123">
        <v>0.62</v>
      </c>
      <c r="FT42" s="149">
        <v>0.71</v>
      </c>
      <c r="FU42" s="150">
        <v>66.5</v>
      </c>
      <c r="FV42" s="150"/>
      <c r="FW42" s="123"/>
      <c r="FX42" s="151"/>
      <c r="FY42" s="151"/>
      <c r="FZ42" s="151"/>
      <c r="GA42" s="151">
        <v>2.679325</v>
      </c>
      <c r="GB42" s="123">
        <v>0.373228331762664</v>
      </c>
      <c r="GC42" s="123"/>
      <c r="GD42" s="123">
        <v>37.3228331762664</v>
      </c>
      <c r="GE42" s="123">
        <v>1</v>
      </c>
      <c r="GF42" s="123">
        <v>1</v>
      </c>
      <c r="GG42" s="126">
        <v>100</v>
      </c>
      <c r="GH42" s="123"/>
      <c r="GI42" s="123"/>
      <c r="GJ42" s="123"/>
      <c r="GK42" s="123"/>
      <c r="GL42" s="123"/>
      <c r="GM42" s="123"/>
      <c r="GN42" s="123"/>
      <c r="GO42" s="123"/>
      <c r="GP42" s="123"/>
      <c r="GQ42" s="123"/>
      <c r="GR42" s="123"/>
      <c r="GS42" s="123">
        <v>2</v>
      </c>
      <c r="GT42" s="123"/>
      <c r="GU42" s="123"/>
      <c r="GV42" s="123">
        <v>256</v>
      </c>
      <c r="GW42" s="123"/>
      <c r="GX42" s="123"/>
      <c r="GY42" s="123"/>
      <c r="GZ42" s="123"/>
      <c r="HA42" s="123">
        <v>90</v>
      </c>
      <c r="HB42" s="123"/>
      <c r="HC42" s="123"/>
      <c r="HD42" s="123"/>
      <c r="HE42" s="123"/>
      <c r="HF42" s="123">
        <v>32</v>
      </c>
      <c r="HG42" s="123"/>
      <c r="HH42" s="123"/>
      <c r="HI42" s="123"/>
      <c r="HJ42" s="123"/>
      <c r="HK42" s="123">
        <v>64</v>
      </c>
    </row>
    <row r="43" s="124" customFormat="1" ht="15" spans="1:219">
      <c r="A43" s="173" t="s">
        <v>462</v>
      </c>
      <c r="B43" s="174" t="s">
        <v>463</v>
      </c>
      <c r="C43" s="175" t="s">
        <v>463</v>
      </c>
      <c r="D43" s="174"/>
      <c r="E43" s="139" t="s">
        <v>325</v>
      </c>
      <c r="F43" s="174"/>
      <c r="G43" s="174"/>
      <c r="H43" s="176">
        <v>20592571</v>
      </c>
      <c r="I43" s="142">
        <v>50.8948641902079</v>
      </c>
      <c r="J43" s="139">
        <v>288406138230.669</v>
      </c>
      <c r="K43" s="126">
        <v>41.3476827270307</v>
      </c>
      <c r="L43" s="124">
        <v>34</v>
      </c>
      <c r="M43" s="124">
        <v>34</v>
      </c>
      <c r="N43" s="124"/>
      <c r="O43" s="124"/>
      <c r="P43" s="124"/>
      <c r="Q43" s="124"/>
      <c r="R43" s="124">
        <v>49</v>
      </c>
      <c r="S43" s="124"/>
      <c r="T43" s="124"/>
      <c r="U43" s="124"/>
      <c r="V43" s="124"/>
      <c r="W43" s="124">
        <v>0</v>
      </c>
      <c r="X43" s="124"/>
      <c r="Y43" s="124"/>
      <c r="Z43" s="124"/>
      <c r="AA43" s="124"/>
      <c r="AB43" s="124">
        <v>0</v>
      </c>
      <c r="AC43" s="177"/>
      <c r="AD43" s="177"/>
      <c r="AE43" s="177"/>
      <c r="AF43" s="177"/>
      <c r="AG43" s="177"/>
      <c r="AH43" s="177"/>
      <c r="AI43" s="177">
        <v>13</v>
      </c>
      <c r="AJ43" s="176"/>
      <c r="AK43" s="176"/>
      <c r="AL43" s="176"/>
      <c r="AM43" s="176"/>
      <c r="AN43" s="124"/>
      <c r="AO43" s="124"/>
      <c r="AP43" s="124"/>
      <c r="AQ43" s="124"/>
      <c r="AR43" s="124"/>
      <c r="AS43" s="178"/>
      <c r="AT43" s="178"/>
      <c r="AU43" s="178"/>
      <c r="AV43" s="178"/>
      <c r="AW43" s="178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4">
        <v>0</v>
      </c>
      <c r="BN43" s="124">
        <v>1</v>
      </c>
      <c r="BO43" s="124">
        <v>2</v>
      </c>
      <c r="BP43" s="124">
        <v>2</v>
      </c>
      <c r="BQ43" s="124">
        <v>0</v>
      </c>
      <c r="BR43" s="123">
        <f t="shared" si="1"/>
        <v>3</v>
      </c>
      <c r="BZ43" s="124">
        <v>21.57</v>
      </c>
      <c r="CA43" s="124">
        <v>36.49</v>
      </c>
      <c r="CB43" s="124">
        <v>57.08</v>
      </c>
      <c r="CC43" s="124">
        <v>53.3</v>
      </c>
      <c r="CD43" s="124">
        <v>36.79</v>
      </c>
      <c r="CE43" s="124">
        <v>47.17</v>
      </c>
      <c r="CF43" s="139">
        <v>42.0666666666667</v>
      </c>
      <c r="CG43" s="123">
        <v>0.837</v>
      </c>
      <c r="CH43" s="123">
        <v>83.7</v>
      </c>
      <c r="CI43" s="123">
        <v>62.8833333333334</v>
      </c>
      <c r="CJ43" s="124">
        <v>0.817326106481765</v>
      </c>
      <c r="CK43" s="123">
        <v>81.7326106481765</v>
      </c>
      <c r="CL43" s="124">
        <v>0.90093</v>
      </c>
      <c r="CM43" s="123">
        <v>90.093</v>
      </c>
      <c r="CN43" s="124">
        <v>0.8493</v>
      </c>
      <c r="CO43" s="123">
        <v>84.93</v>
      </c>
      <c r="CP43" s="124">
        <v>94.04</v>
      </c>
      <c r="CQ43" s="123"/>
      <c r="CR43" s="123">
        <v>87.6989026620441</v>
      </c>
      <c r="CS43" s="123">
        <v>71.5178509315848</v>
      </c>
      <c r="CT43" s="179"/>
      <c r="CU43" s="179"/>
      <c r="CV43" s="179"/>
      <c r="CW43" s="179">
        <v>1</v>
      </c>
      <c r="CX43" s="143">
        <v>100</v>
      </c>
      <c r="CY43" s="180">
        <v>1</v>
      </c>
      <c r="CZ43" s="143">
        <v>100</v>
      </c>
      <c r="DA43" s="180">
        <v>1</v>
      </c>
      <c r="DB43" s="143">
        <v>100</v>
      </c>
      <c r="DC43" s="181">
        <v>1</v>
      </c>
      <c r="DD43" s="123">
        <v>100</v>
      </c>
      <c r="DE43" s="176"/>
      <c r="DF43" s="124">
        <v>0</v>
      </c>
      <c r="DG43" s="144">
        <v>0</v>
      </c>
      <c r="DH43" s="144">
        <v>0</v>
      </c>
      <c r="DI43" s="124">
        <v>0</v>
      </c>
      <c r="DJ43" s="143">
        <v>0</v>
      </c>
      <c r="DK43" s="124"/>
      <c r="DL43" s="124">
        <v>0</v>
      </c>
      <c r="DM43" s="123">
        <v>0</v>
      </c>
      <c r="DN43" s="124"/>
      <c r="DO43" s="124">
        <v>1</v>
      </c>
      <c r="DP43" s="143">
        <v>100</v>
      </c>
      <c r="DQ43" s="124"/>
      <c r="DR43" s="124">
        <v>0</v>
      </c>
      <c r="DS43" s="124"/>
      <c r="DT43" s="143">
        <v>0</v>
      </c>
      <c r="DU43" s="182">
        <v>0</v>
      </c>
      <c r="DV43" s="146">
        <v>0</v>
      </c>
      <c r="DW43" s="183">
        <v>1</v>
      </c>
      <c r="DX43" s="147">
        <v>100</v>
      </c>
      <c r="DY43" s="147">
        <v>33.3333333333333</v>
      </c>
      <c r="DZ43" s="157">
        <v>3</v>
      </c>
      <c r="EA43" s="176"/>
      <c r="EB43" s="176"/>
      <c r="EC43" s="124">
        <v>1</v>
      </c>
      <c r="ED43" s="123">
        <v>50</v>
      </c>
      <c r="EE43" s="124"/>
      <c r="EF43" s="124"/>
      <c r="EG43" s="124"/>
      <c r="EH43" s="124"/>
      <c r="EI43" s="123"/>
      <c r="EJ43" s="123">
        <v>425</v>
      </c>
      <c r="EK43" s="123"/>
      <c r="EL43" s="123">
        <v>0.69</v>
      </c>
      <c r="EM43" s="178"/>
      <c r="EN43" s="178"/>
      <c r="EO43" s="178"/>
      <c r="EP43" s="178"/>
      <c r="EQ43" s="218" t="s">
        <v>464</v>
      </c>
      <c r="ER43" s="123">
        <v>65.4090909090909</v>
      </c>
      <c r="ES43" s="124"/>
      <c r="ET43" s="124"/>
      <c r="EU43" s="124"/>
      <c r="EV43" s="123"/>
      <c r="EW43" s="124"/>
      <c r="EX43" s="124"/>
      <c r="EY43" s="124"/>
      <c r="EZ43" s="124"/>
      <c r="FA43" s="124"/>
      <c r="FB43" s="123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3"/>
      <c r="FS43" s="124"/>
      <c r="FT43" s="124"/>
      <c r="FU43" s="150"/>
      <c r="FV43" s="124"/>
      <c r="FW43" s="124"/>
      <c r="FX43" s="184"/>
      <c r="FY43" s="184"/>
      <c r="FZ43" s="184"/>
      <c r="GA43" s="184">
        <v>1.4375</v>
      </c>
      <c r="GB43" s="123">
        <v>0.695652173913043</v>
      </c>
      <c r="GC43" s="123"/>
      <c r="GD43" s="123">
        <v>69.5652173913043</v>
      </c>
      <c r="GE43" s="124">
        <v>0.997</v>
      </c>
      <c r="GF43" s="124">
        <v>1</v>
      </c>
      <c r="GG43" s="126">
        <v>99.85</v>
      </c>
      <c r="GH43" s="124"/>
      <c r="GI43" s="124"/>
      <c r="GJ43" s="124"/>
      <c r="GK43" s="124"/>
      <c r="GL43" s="124"/>
      <c r="GM43" s="124"/>
      <c r="GN43" s="124"/>
      <c r="GO43" s="124"/>
      <c r="GP43" s="124"/>
      <c r="GQ43" s="124"/>
      <c r="GR43" s="124"/>
      <c r="GS43" s="124"/>
      <c r="GT43" s="124"/>
      <c r="GU43" s="124"/>
      <c r="GV43" s="124">
        <v>76</v>
      </c>
      <c r="GW43" s="124"/>
      <c r="GX43" s="124"/>
      <c r="GY43" s="124"/>
      <c r="GZ43" s="124"/>
      <c r="HA43" s="124">
        <v>8</v>
      </c>
      <c r="HB43" s="124"/>
      <c r="HC43" s="124"/>
      <c r="HD43" s="124"/>
      <c r="HE43" s="124"/>
      <c r="HF43" s="124">
        <v>1</v>
      </c>
      <c r="HG43" s="124"/>
      <c r="HH43" s="124"/>
      <c r="HI43" s="124"/>
      <c r="HJ43" s="124"/>
      <c r="HK43" s="124">
        <v>1</v>
      </c>
    </row>
    <row r="44" s="123" customFormat="1" ht="15" spans="1:219">
      <c r="A44" s="137" t="s">
        <v>465</v>
      </c>
      <c r="B44" s="185" t="s">
        <v>466</v>
      </c>
      <c r="C44" s="185" t="s">
        <v>467</v>
      </c>
      <c r="D44" s="138"/>
      <c r="E44" s="139" t="s">
        <v>337</v>
      </c>
      <c r="F44" s="138"/>
      <c r="G44" s="140"/>
      <c r="H44" s="141">
        <v>7224614</v>
      </c>
      <c r="I44" s="142">
        <v>17.8557475099479</v>
      </c>
      <c r="J44" s="139">
        <v>17478259659.2625</v>
      </c>
      <c r="K44" s="126">
        <v>2.50579110224706</v>
      </c>
      <c r="L44" s="123">
        <v>0</v>
      </c>
      <c r="M44" s="123">
        <v>0</v>
      </c>
      <c r="N44" s="123"/>
      <c r="O44" s="123"/>
      <c r="P44" s="123"/>
      <c r="Q44" s="123"/>
      <c r="R44" s="123">
        <v>0</v>
      </c>
      <c r="S44" s="123"/>
      <c r="T44" s="123"/>
      <c r="U44" s="123"/>
      <c r="V44" s="123"/>
      <c r="W44" s="123">
        <v>0</v>
      </c>
      <c r="X44" s="123"/>
      <c r="Y44" s="123"/>
      <c r="Z44" s="123"/>
      <c r="AA44" s="123"/>
      <c r="AB44" s="123">
        <v>0</v>
      </c>
      <c r="AC44" s="153"/>
      <c r="AD44" s="153"/>
      <c r="AE44" s="153"/>
      <c r="AF44" s="153"/>
      <c r="AG44" s="153"/>
      <c r="AH44" s="153"/>
      <c r="AI44" s="153">
        <v>3</v>
      </c>
      <c r="AJ44" s="126"/>
      <c r="AK44" s="126"/>
      <c r="AL44" s="126"/>
      <c r="AM44" s="126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>
        <v>0</v>
      </c>
      <c r="BN44" s="150">
        <v>0</v>
      </c>
      <c r="BO44" s="123">
        <v>1</v>
      </c>
      <c r="BP44" s="123">
        <v>3</v>
      </c>
      <c r="BQ44" s="123">
        <v>0</v>
      </c>
      <c r="BR44" s="123">
        <f t="shared" si="1"/>
        <v>3</v>
      </c>
      <c r="CF44" s="139"/>
      <c r="CG44" s="123">
        <v>0.72</v>
      </c>
      <c r="CH44" s="123">
        <v>72</v>
      </c>
      <c r="CI44" s="123">
        <v>72</v>
      </c>
      <c r="CJ44" s="123">
        <v>0.57795635654284</v>
      </c>
      <c r="CK44" s="123">
        <v>57.795635654284</v>
      </c>
      <c r="CL44" s="123">
        <v>0.7316</v>
      </c>
      <c r="CM44" s="123">
        <v>73.16</v>
      </c>
      <c r="CN44" s="123">
        <v>0.4658</v>
      </c>
      <c r="CO44" s="123">
        <v>46.58</v>
      </c>
      <c r="CP44" s="123">
        <v>66.04</v>
      </c>
      <c r="CQ44" s="123"/>
      <c r="CR44" s="123">
        <v>60.893908913571</v>
      </c>
      <c r="CS44" s="123">
        <v>74.5035627896613</v>
      </c>
      <c r="CT44" s="186"/>
      <c r="CU44" s="186"/>
      <c r="CV44" s="186"/>
      <c r="CW44" s="186">
        <v>0</v>
      </c>
      <c r="CX44" s="143">
        <v>0</v>
      </c>
      <c r="CY44" s="180">
        <v>0</v>
      </c>
      <c r="CZ44" s="143">
        <v>0</v>
      </c>
      <c r="DA44" s="180">
        <v>0</v>
      </c>
      <c r="DB44" s="143">
        <v>0</v>
      </c>
      <c r="DC44" s="181">
        <v>0</v>
      </c>
      <c r="DD44" s="123">
        <v>0</v>
      </c>
      <c r="DE44" s="126"/>
      <c r="DF44" s="123">
        <v>0</v>
      </c>
      <c r="DG44" s="144">
        <v>0</v>
      </c>
      <c r="DH44" s="144">
        <v>0</v>
      </c>
      <c r="DI44" s="123">
        <v>0</v>
      </c>
      <c r="DJ44" s="143">
        <v>0</v>
      </c>
      <c r="DK44" s="123"/>
      <c r="DL44" s="123">
        <v>0</v>
      </c>
      <c r="DM44" s="123">
        <v>0</v>
      </c>
      <c r="DN44" s="123"/>
      <c r="DO44" s="123">
        <v>0</v>
      </c>
      <c r="DP44" s="143">
        <v>0</v>
      </c>
      <c r="DQ44" s="123"/>
      <c r="DR44" s="123"/>
      <c r="DS44" s="145"/>
      <c r="DT44" s="143">
        <v>0</v>
      </c>
      <c r="DU44" s="123"/>
      <c r="DV44" s="146">
        <v>0</v>
      </c>
      <c r="DW44" s="187">
        <v>1</v>
      </c>
      <c r="DX44" s="147">
        <v>100</v>
      </c>
      <c r="DY44" s="147">
        <v>33.3333333333333</v>
      </c>
      <c r="DZ44" s="157">
        <v>2</v>
      </c>
      <c r="EA44" s="126"/>
      <c r="EB44" s="126"/>
      <c r="EC44" s="123">
        <v>0</v>
      </c>
      <c r="ED44" s="123">
        <v>0</v>
      </c>
      <c r="EE44" s="123"/>
      <c r="EF44" s="123"/>
      <c r="EG44" s="123"/>
      <c r="EH44" s="123"/>
      <c r="EI44" s="123"/>
      <c r="EJ44" s="123"/>
      <c r="EK44" s="123"/>
      <c r="EL44" s="123"/>
      <c r="EM44" s="150"/>
      <c r="EN44" s="150"/>
      <c r="EO44" s="150"/>
      <c r="EP44" s="150"/>
      <c r="EQ44" s="216" t="s">
        <v>468</v>
      </c>
      <c r="ER44" s="123">
        <v>35.0454545454545</v>
      </c>
      <c r="ES44" s="123"/>
      <c r="ET44" s="123"/>
      <c r="EU44" s="123"/>
      <c r="EV44" s="123"/>
      <c r="EW44" s="123"/>
      <c r="EX44" s="123"/>
      <c r="EY44" s="123"/>
      <c r="EZ44" s="123"/>
      <c r="FA44" s="123"/>
      <c r="FB44" s="123"/>
      <c r="FC44" s="123"/>
      <c r="FD44" s="123"/>
      <c r="FE44" s="123"/>
      <c r="FF44" s="123"/>
      <c r="FG44" s="123"/>
      <c r="FH44" s="123"/>
      <c r="FI44" s="123"/>
      <c r="FJ44" s="123"/>
      <c r="FK44" s="123"/>
      <c r="FL44" s="123"/>
      <c r="FM44" s="123"/>
      <c r="FN44" s="123"/>
      <c r="FO44" s="123"/>
      <c r="FP44" s="123"/>
      <c r="FQ44" s="123"/>
      <c r="FR44" s="123"/>
      <c r="FS44" s="123"/>
      <c r="FT44" s="123"/>
      <c r="FU44" s="150"/>
      <c r="FV44" s="123"/>
      <c r="FW44" s="123"/>
      <c r="FX44" s="151"/>
      <c r="FY44" s="151"/>
      <c r="FZ44" s="151"/>
      <c r="GA44" s="151"/>
      <c r="GB44" s="123"/>
      <c r="GC44" s="123"/>
      <c r="GD44" s="123"/>
      <c r="GE44" s="123">
        <v>0.895</v>
      </c>
      <c r="GF44" s="123">
        <v>0.949</v>
      </c>
      <c r="GG44" s="126">
        <v>92.2</v>
      </c>
      <c r="GH44" s="123"/>
      <c r="GI44" s="123"/>
      <c r="GJ44" s="123"/>
      <c r="GK44" s="123"/>
      <c r="GL44" s="123"/>
      <c r="GM44" s="123"/>
      <c r="GN44" s="123"/>
      <c r="GO44" s="123"/>
      <c r="GP44" s="123"/>
      <c r="GQ44" s="123"/>
      <c r="GR44" s="123"/>
      <c r="GS44" s="123">
        <v>1</v>
      </c>
    </row>
    <row r="45" s="123" customFormat="1" ht="15" spans="1:219">
      <c r="A45" s="137" t="s">
        <v>469</v>
      </c>
      <c r="B45" s="185" t="s">
        <v>470</v>
      </c>
      <c r="C45" s="185" t="s">
        <v>471</v>
      </c>
      <c r="D45" s="138"/>
      <c r="E45" s="139" t="s">
        <v>337</v>
      </c>
      <c r="F45" s="138"/>
      <c r="G45" s="140"/>
      <c r="H45" s="141">
        <v>10590927</v>
      </c>
      <c r="I45" s="142">
        <v>26.1756432119819</v>
      </c>
      <c r="J45" s="139">
        <v>14204575548.5536</v>
      </c>
      <c r="K45" s="126">
        <v>2.0364555576275</v>
      </c>
      <c r="L45" s="123">
        <v>0</v>
      </c>
      <c r="M45" s="123">
        <v>0</v>
      </c>
      <c r="N45" s="123"/>
      <c r="O45" s="123"/>
      <c r="P45" s="123"/>
      <c r="Q45" s="123"/>
      <c r="R45" s="123">
        <v>0</v>
      </c>
      <c r="S45" s="123"/>
      <c r="T45" s="123"/>
      <c r="U45" s="123"/>
      <c r="V45" s="123"/>
      <c r="W45" s="123">
        <v>0</v>
      </c>
      <c r="X45" s="123"/>
      <c r="Y45" s="123"/>
      <c r="Z45" s="123"/>
      <c r="AA45" s="123"/>
      <c r="AB45" s="123">
        <v>0</v>
      </c>
      <c r="AC45" s="123"/>
      <c r="AD45" s="123"/>
      <c r="AE45" s="123"/>
      <c r="AF45" s="123"/>
      <c r="AG45" s="123"/>
      <c r="AH45" s="123"/>
      <c r="AI45" s="123">
        <v>0</v>
      </c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>
        <v>0</v>
      </c>
      <c r="BN45" s="150">
        <v>0</v>
      </c>
      <c r="BO45" s="123">
        <v>1</v>
      </c>
      <c r="BP45" s="123">
        <v>1</v>
      </c>
      <c r="BQ45" s="123">
        <v>0</v>
      </c>
      <c r="BR45" s="123">
        <f t="shared" si="1"/>
        <v>1</v>
      </c>
      <c r="BZ45" s="123">
        <v>4.9</v>
      </c>
      <c r="CA45" s="150">
        <v>27.49</v>
      </c>
      <c r="CB45" s="123">
        <v>23.58</v>
      </c>
      <c r="CC45" s="123">
        <v>11.32</v>
      </c>
      <c r="CD45" s="123">
        <v>9.91</v>
      </c>
      <c r="CE45" s="123">
        <v>7.55</v>
      </c>
      <c r="CF45" s="139">
        <v>14.125</v>
      </c>
      <c r="CG45" s="123">
        <v>0.691</v>
      </c>
      <c r="CH45" s="123">
        <v>69.1</v>
      </c>
      <c r="CI45" s="123">
        <v>41.6125</v>
      </c>
      <c r="CJ45" s="123">
        <v>0.308631165272955</v>
      </c>
      <c r="CK45" s="123">
        <v>30.8631165272955</v>
      </c>
      <c r="CL45" s="123">
        <v>0.56055</v>
      </c>
      <c r="CM45" s="123">
        <v>56.055</v>
      </c>
      <c r="CN45" s="123">
        <v>0.274</v>
      </c>
      <c r="CO45" s="123">
        <v>27.4</v>
      </c>
      <c r="CP45" s="123">
        <v>25.36</v>
      </c>
      <c r="CQ45" s="123"/>
      <c r="CR45" s="123">
        <v>34.9195291318239</v>
      </c>
      <c r="CS45" s="123">
        <v>68.2699299932094</v>
      </c>
      <c r="CT45" s="186"/>
      <c r="CU45" s="186"/>
      <c r="CV45" s="186"/>
      <c r="CW45" s="186">
        <v>1</v>
      </c>
      <c r="CX45" s="143">
        <v>100</v>
      </c>
      <c r="CY45" s="180">
        <v>1</v>
      </c>
      <c r="CZ45" s="143">
        <v>100</v>
      </c>
      <c r="DA45" s="180">
        <v>1</v>
      </c>
      <c r="DB45" s="143">
        <v>100</v>
      </c>
      <c r="DC45" s="181">
        <v>1</v>
      </c>
      <c r="DD45" s="123">
        <v>100</v>
      </c>
      <c r="DE45" s="126"/>
      <c r="DF45" s="123">
        <v>0</v>
      </c>
      <c r="DG45" s="144">
        <v>0</v>
      </c>
      <c r="DH45" s="144">
        <v>0</v>
      </c>
      <c r="DI45" s="123">
        <v>0</v>
      </c>
      <c r="DJ45" s="143">
        <v>0</v>
      </c>
      <c r="DK45" s="123"/>
      <c r="DL45" s="123">
        <v>0</v>
      </c>
      <c r="DM45" s="123">
        <v>0</v>
      </c>
      <c r="DN45" s="123"/>
      <c r="DO45" s="123">
        <v>0</v>
      </c>
      <c r="DP45" s="143">
        <v>0</v>
      </c>
      <c r="DQ45" s="123"/>
      <c r="DR45" s="123">
        <v>0</v>
      </c>
      <c r="DS45" s="145"/>
      <c r="DT45" s="143">
        <v>0</v>
      </c>
      <c r="DU45" s="123">
        <v>0</v>
      </c>
      <c r="DV45" s="146">
        <v>0</v>
      </c>
      <c r="DW45" s="187">
        <v>0</v>
      </c>
      <c r="DX45" s="147">
        <v>0</v>
      </c>
      <c r="DY45" s="147">
        <v>0</v>
      </c>
      <c r="DZ45" s="157">
        <v>2</v>
      </c>
      <c r="EA45" s="126"/>
      <c r="EB45" s="126"/>
      <c r="EC45" s="123">
        <v>0</v>
      </c>
      <c r="ED45" s="123">
        <v>0</v>
      </c>
      <c r="EE45" s="123"/>
      <c r="EF45" s="123"/>
      <c r="EG45" s="123"/>
      <c r="EH45" s="123"/>
      <c r="EI45" s="123"/>
      <c r="EJ45" s="123"/>
      <c r="EK45" s="123"/>
      <c r="EL45" s="123"/>
      <c r="EM45" s="150"/>
      <c r="EN45" s="150"/>
      <c r="EO45" s="150"/>
      <c r="EP45" s="150"/>
      <c r="EQ45" s="216" t="s">
        <v>472</v>
      </c>
      <c r="ER45" s="123">
        <v>3.47727272727273</v>
      </c>
      <c r="ES45" s="123"/>
      <c r="ET45" s="123"/>
      <c r="EU45" s="123"/>
      <c r="EV45" s="123"/>
      <c r="EW45" s="123"/>
      <c r="EX45" s="123"/>
      <c r="EY45" s="123"/>
      <c r="EZ45" s="123"/>
      <c r="FA45" s="123"/>
      <c r="FB45" s="123"/>
      <c r="FC45" s="123"/>
      <c r="FD45" s="123"/>
      <c r="FE45" s="123"/>
      <c r="FF45" s="123"/>
      <c r="FG45" s="123"/>
      <c r="FH45" s="123"/>
      <c r="FI45" s="123"/>
      <c r="FJ45" s="123"/>
      <c r="FK45" s="123"/>
      <c r="FL45" s="123"/>
      <c r="FM45" s="123"/>
      <c r="FN45" s="123"/>
      <c r="FO45" s="123"/>
      <c r="FP45" s="123"/>
      <c r="FQ45" s="123"/>
      <c r="FR45" s="123"/>
      <c r="FS45" s="123"/>
      <c r="FT45" s="123"/>
      <c r="FU45" s="150"/>
      <c r="FV45" s="123"/>
      <c r="FW45" s="123"/>
      <c r="FX45" s="151"/>
      <c r="FY45" s="151"/>
      <c r="FZ45" s="151"/>
      <c r="GA45" s="151"/>
      <c r="GB45" s="123"/>
      <c r="GC45" s="123"/>
      <c r="GD45" s="123"/>
      <c r="GE45" s="123">
        <v>0.592</v>
      </c>
      <c r="GF45" s="123">
        <v>0.76</v>
      </c>
      <c r="GG45" s="126">
        <v>67.6</v>
      </c>
    </row>
    <row r="46" s="123" customFormat="1" ht="15" spans="1:219">
      <c r="A46" s="137" t="s">
        <v>473</v>
      </c>
      <c r="B46" s="185" t="s">
        <v>474</v>
      </c>
      <c r="C46" s="185" t="s">
        <v>475</v>
      </c>
      <c r="D46" s="138"/>
      <c r="E46" s="139" t="s">
        <v>337</v>
      </c>
      <c r="F46" s="138"/>
      <c r="G46" s="140"/>
      <c r="H46" s="141">
        <v>36361859</v>
      </c>
      <c r="I46" s="142">
        <v>89.8689083314797</v>
      </c>
      <c r="J46" s="139">
        <v>114965293466.611</v>
      </c>
      <c r="K46" s="126">
        <v>16.4821335219831</v>
      </c>
      <c r="L46" s="123">
        <v>3</v>
      </c>
      <c r="M46" s="123">
        <v>3</v>
      </c>
      <c r="N46" s="123"/>
      <c r="O46" s="123"/>
      <c r="P46" s="123"/>
      <c r="Q46" s="123"/>
      <c r="R46" s="123">
        <v>4</v>
      </c>
      <c r="S46" s="123"/>
      <c r="T46" s="123"/>
      <c r="U46" s="123"/>
      <c r="V46" s="123"/>
      <c r="W46" s="123">
        <v>0</v>
      </c>
      <c r="X46" s="123"/>
      <c r="Y46" s="123"/>
      <c r="Z46" s="123"/>
      <c r="AA46" s="123"/>
      <c r="AB46" s="123">
        <v>0</v>
      </c>
      <c r="AC46" s="153"/>
      <c r="AD46" s="153"/>
      <c r="AE46" s="153"/>
      <c r="AF46" s="153"/>
      <c r="AG46" s="153"/>
      <c r="AH46" s="153"/>
      <c r="AI46" s="153">
        <v>5</v>
      </c>
      <c r="AJ46" s="126"/>
      <c r="AK46" s="126"/>
      <c r="AL46" s="126"/>
      <c r="AM46" s="126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>
        <v>0</v>
      </c>
      <c r="BN46" s="150">
        <v>0</v>
      </c>
      <c r="BO46" s="150">
        <v>0</v>
      </c>
      <c r="BP46" s="123">
        <v>0</v>
      </c>
      <c r="BQ46" s="123">
        <v>0</v>
      </c>
      <c r="BR46" s="123">
        <f t="shared" si="1"/>
        <v>0</v>
      </c>
      <c r="BZ46" s="123">
        <v>12.25</v>
      </c>
      <c r="CA46" s="123">
        <v>40.76</v>
      </c>
      <c r="CB46" s="123">
        <v>40.09</v>
      </c>
      <c r="CC46" s="123">
        <v>31.13</v>
      </c>
      <c r="CD46" s="123">
        <v>23.11</v>
      </c>
      <c r="CE46" s="123">
        <v>23.11</v>
      </c>
      <c r="CF46" s="139">
        <v>28.4083333333333</v>
      </c>
      <c r="CG46" s="123">
        <v>0.74</v>
      </c>
      <c r="CH46" s="123">
        <v>74</v>
      </c>
      <c r="CI46" s="123">
        <v>51.2041666666667</v>
      </c>
      <c r="CJ46" s="123">
        <v>0.813440287252948</v>
      </c>
      <c r="CK46" s="123">
        <v>81.3440287252948</v>
      </c>
      <c r="CL46" s="123">
        <v>0.7999</v>
      </c>
      <c r="CM46" s="123">
        <v>79.99</v>
      </c>
      <c r="CN46" s="123">
        <v>0.6986</v>
      </c>
      <c r="CO46" s="123">
        <v>69.86</v>
      </c>
      <c r="CP46" s="123">
        <v>89.2</v>
      </c>
      <c r="CQ46" s="123"/>
      <c r="CR46" s="123">
        <v>80.0985071813237</v>
      </c>
      <c r="CS46" s="123">
        <v>73.0795786159919</v>
      </c>
      <c r="CT46" s="186"/>
      <c r="CU46" s="186"/>
      <c r="CV46" s="186"/>
      <c r="CW46" s="186">
        <v>1</v>
      </c>
      <c r="CX46" s="143">
        <v>100</v>
      </c>
      <c r="CY46" s="180">
        <v>1</v>
      </c>
      <c r="CZ46" s="143">
        <v>100</v>
      </c>
      <c r="DA46" s="180">
        <v>1</v>
      </c>
      <c r="DB46" s="143">
        <v>100</v>
      </c>
      <c r="DC46" s="181">
        <v>1</v>
      </c>
      <c r="DD46" s="123">
        <v>100</v>
      </c>
      <c r="DE46" s="126"/>
      <c r="DF46" s="123">
        <v>0</v>
      </c>
      <c r="DG46" s="144">
        <v>0</v>
      </c>
      <c r="DH46" s="144">
        <v>0</v>
      </c>
      <c r="DI46" s="123">
        <v>0</v>
      </c>
      <c r="DJ46" s="143">
        <v>0</v>
      </c>
      <c r="DK46" s="123"/>
      <c r="DL46" s="123">
        <v>0</v>
      </c>
      <c r="DM46" s="123">
        <v>0</v>
      </c>
      <c r="DN46" s="123"/>
      <c r="DO46" s="123">
        <v>0</v>
      </c>
      <c r="DP46" s="143">
        <v>0</v>
      </c>
      <c r="DQ46" s="123"/>
      <c r="DR46" s="123">
        <v>0</v>
      </c>
      <c r="DS46" s="145"/>
      <c r="DT46" s="143">
        <v>0</v>
      </c>
      <c r="DU46" s="123">
        <v>0</v>
      </c>
      <c r="DV46" s="146">
        <v>0</v>
      </c>
      <c r="DW46" s="187">
        <v>1</v>
      </c>
      <c r="DX46" s="147">
        <v>100</v>
      </c>
      <c r="DY46" s="147">
        <v>33.3333333333333</v>
      </c>
      <c r="DZ46" s="157">
        <v>3</v>
      </c>
      <c r="EA46" s="126"/>
      <c r="EB46" s="126"/>
      <c r="EC46" s="123">
        <v>1</v>
      </c>
      <c r="ED46" s="123">
        <v>50</v>
      </c>
      <c r="EE46" s="123"/>
      <c r="EF46" s="123"/>
      <c r="EG46" s="123"/>
      <c r="EH46" s="123"/>
      <c r="EI46" s="123"/>
      <c r="EJ46" s="123">
        <v>364</v>
      </c>
      <c r="EK46" s="123"/>
      <c r="EL46" s="123"/>
      <c r="EM46" s="150"/>
      <c r="EN46" s="150"/>
      <c r="EO46" s="150"/>
      <c r="EP46" s="150"/>
      <c r="EQ46" s="216" t="s">
        <v>476</v>
      </c>
      <c r="ER46" s="123">
        <v>51.2727272727273</v>
      </c>
      <c r="ES46" s="123"/>
      <c r="ET46" s="123"/>
      <c r="EU46" s="123"/>
      <c r="EV46" s="123"/>
      <c r="EW46" s="123"/>
      <c r="EX46" s="123"/>
      <c r="EY46" s="123"/>
      <c r="EZ46" s="123"/>
      <c r="FA46" s="123"/>
      <c r="FB46" s="123"/>
      <c r="FC46" s="123"/>
      <c r="FD46" s="123"/>
      <c r="FE46" s="123"/>
      <c r="FF46" s="123"/>
      <c r="FG46" s="123"/>
      <c r="FH46" s="123"/>
      <c r="FI46" s="123"/>
      <c r="FJ46" s="123"/>
      <c r="FK46" s="123"/>
      <c r="FL46" s="123"/>
      <c r="FM46" s="123"/>
      <c r="FN46" s="123"/>
      <c r="FO46" s="123"/>
      <c r="FP46" s="123"/>
      <c r="FQ46" s="123"/>
      <c r="FR46" s="123"/>
      <c r="FS46" s="123"/>
      <c r="FT46" s="123"/>
      <c r="FU46" s="150"/>
      <c r="FV46" s="123"/>
      <c r="FW46" s="123"/>
      <c r="FX46" s="151"/>
      <c r="FY46" s="151"/>
      <c r="FZ46" s="151"/>
      <c r="GA46" s="151">
        <v>1</v>
      </c>
      <c r="GB46" s="123">
        <v>1</v>
      </c>
      <c r="GC46" s="123"/>
      <c r="GD46" s="123">
        <v>100</v>
      </c>
      <c r="GE46" s="123">
        <v>0.666</v>
      </c>
      <c r="GF46" s="123">
        <v>0.806</v>
      </c>
      <c r="GG46" s="126">
        <v>73.6</v>
      </c>
      <c r="GV46" s="123">
        <v>9</v>
      </c>
      <c r="HA46" s="123">
        <v>1</v>
      </c>
      <c r="HK46" s="123">
        <v>3</v>
      </c>
    </row>
    <row r="47" s="123" customFormat="1" ht="15" spans="1:219">
      <c r="A47" s="137" t="s">
        <v>477</v>
      </c>
      <c r="B47" s="185" t="s">
        <v>478</v>
      </c>
      <c r="C47" s="185" t="s">
        <v>478</v>
      </c>
      <c r="D47" s="138"/>
      <c r="E47" s="139" t="s">
        <v>337</v>
      </c>
      <c r="F47" s="138"/>
      <c r="G47" s="140"/>
      <c r="H47" s="141">
        <v>251269164</v>
      </c>
      <c r="I47" s="142">
        <v>621.01570401127</v>
      </c>
      <c r="J47" s="139">
        <v>373071855731.539</v>
      </c>
      <c r="K47" s="126">
        <v>53.4858821653605</v>
      </c>
      <c r="L47" s="123">
        <v>718</v>
      </c>
      <c r="M47" s="123">
        <v>718</v>
      </c>
      <c r="N47" s="123"/>
      <c r="O47" s="123"/>
      <c r="P47" s="123"/>
      <c r="Q47" s="123"/>
      <c r="R47" s="123">
        <v>1040</v>
      </c>
      <c r="S47" s="123"/>
      <c r="T47" s="123"/>
      <c r="U47" s="123"/>
      <c r="V47" s="123"/>
      <c r="W47" s="123">
        <v>0</v>
      </c>
      <c r="X47" s="123"/>
      <c r="Y47" s="123"/>
      <c r="Z47" s="123"/>
      <c r="AA47" s="123"/>
      <c r="AB47" s="123">
        <v>0</v>
      </c>
      <c r="AC47" s="153"/>
      <c r="AD47" s="153"/>
      <c r="AE47" s="153"/>
      <c r="AF47" s="153"/>
      <c r="AG47" s="153"/>
      <c r="AH47" s="153"/>
      <c r="AI47" s="153">
        <v>26</v>
      </c>
      <c r="AJ47" s="126"/>
      <c r="AK47" s="126"/>
      <c r="AL47" s="126"/>
      <c r="AM47" s="126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>
        <v>2</v>
      </c>
      <c r="BN47" s="123">
        <v>5</v>
      </c>
      <c r="BO47" s="123">
        <v>10</v>
      </c>
      <c r="BP47" s="123">
        <v>18</v>
      </c>
      <c r="BQ47" s="123">
        <v>0</v>
      </c>
      <c r="BR47" s="123">
        <f t="shared" si="1"/>
        <v>25</v>
      </c>
      <c r="BZ47" s="123">
        <v>23.04</v>
      </c>
      <c r="CA47" s="123">
        <v>6.64</v>
      </c>
      <c r="CB47" s="123">
        <v>30.66</v>
      </c>
      <c r="CC47" s="123">
        <v>19.81</v>
      </c>
      <c r="CD47" s="123">
        <v>21.23</v>
      </c>
      <c r="CE47" s="123">
        <v>18.87</v>
      </c>
      <c r="CF47" s="139">
        <v>20.0416666666667</v>
      </c>
      <c r="CG47" s="123">
        <v>0.544</v>
      </c>
      <c r="CH47" s="123">
        <v>54.4</v>
      </c>
      <c r="CI47" s="123">
        <v>37.2208333333333</v>
      </c>
      <c r="CJ47" s="123">
        <v>0.534745382719011</v>
      </c>
      <c r="CK47" s="123">
        <v>53.4745382719011</v>
      </c>
      <c r="CL47" s="123">
        <v>0.50955</v>
      </c>
      <c r="CM47" s="123">
        <v>50.955</v>
      </c>
      <c r="CN47" s="123">
        <v>0.4932</v>
      </c>
      <c r="CO47" s="123">
        <v>49.32</v>
      </c>
      <c r="CP47" s="123">
        <v>96.69</v>
      </c>
      <c r="CQ47" s="123"/>
      <c r="CR47" s="123">
        <v>62.6098845679753</v>
      </c>
      <c r="CS47" s="123">
        <v>56.9661328506461</v>
      </c>
      <c r="CT47" s="186"/>
      <c r="CU47" s="186"/>
      <c r="CV47" s="186"/>
      <c r="CW47" s="186">
        <v>1</v>
      </c>
      <c r="CX47" s="143">
        <v>100</v>
      </c>
      <c r="CY47" s="180">
        <v>1</v>
      </c>
      <c r="CZ47" s="143">
        <v>100</v>
      </c>
      <c r="DA47" s="180">
        <v>1</v>
      </c>
      <c r="DB47" s="143">
        <v>100</v>
      </c>
      <c r="DC47" s="181">
        <v>1</v>
      </c>
      <c r="DD47" s="123">
        <v>100</v>
      </c>
      <c r="DE47" s="126"/>
      <c r="DF47" s="123">
        <v>0</v>
      </c>
      <c r="DG47" s="144">
        <v>0</v>
      </c>
      <c r="DH47" s="144">
        <v>0</v>
      </c>
      <c r="DI47" s="123">
        <v>0</v>
      </c>
      <c r="DJ47" s="143">
        <v>0</v>
      </c>
      <c r="DK47" s="123"/>
      <c r="DL47" s="123">
        <v>0</v>
      </c>
      <c r="DM47" s="123">
        <v>0</v>
      </c>
      <c r="DN47" s="123"/>
      <c r="DO47" s="123">
        <v>0</v>
      </c>
      <c r="DP47" s="143">
        <v>0</v>
      </c>
      <c r="DQ47" s="123"/>
      <c r="DR47" s="123">
        <v>0</v>
      </c>
      <c r="DS47" s="145"/>
      <c r="DT47" s="143">
        <v>0</v>
      </c>
      <c r="DU47" s="123">
        <v>0</v>
      </c>
      <c r="DV47" s="146">
        <v>0</v>
      </c>
      <c r="DW47" s="187">
        <v>0</v>
      </c>
      <c r="DX47" s="147">
        <v>0</v>
      </c>
      <c r="DY47" s="147">
        <v>0</v>
      </c>
      <c r="DZ47" s="157">
        <v>3</v>
      </c>
      <c r="EA47" s="126"/>
      <c r="EB47" s="126"/>
      <c r="EC47" s="123">
        <v>0</v>
      </c>
      <c r="ED47" s="123">
        <v>0</v>
      </c>
      <c r="EE47" s="123"/>
      <c r="EF47" s="123"/>
      <c r="EG47" s="123"/>
      <c r="EH47" s="123"/>
      <c r="EI47" s="123"/>
      <c r="EJ47" s="123"/>
      <c r="EK47" s="123"/>
      <c r="EL47" s="123"/>
      <c r="EM47" s="150"/>
      <c r="EN47" s="150"/>
      <c r="EO47" s="150"/>
      <c r="EP47" s="150"/>
      <c r="EQ47" s="216" t="s">
        <v>479</v>
      </c>
      <c r="ER47" s="123">
        <v>81.8863636363636</v>
      </c>
      <c r="ES47" s="123"/>
      <c r="ET47" s="123"/>
      <c r="EU47" s="123"/>
      <c r="EV47" s="123"/>
      <c r="EW47" s="123"/>
      <c r="EX47" s="123"/>
      <c r="EY47" s="123"/>
      <c r="EZ47" s="123"/>
      <c r="FA47" s="123"/>
      <c r="FB47" s="123"/>
      <c r="FC47" s="123"/>
      <c r="FD47" s="123"/>
      <c r="FE47" s="123"/>
      <c r="FF47" s="123"/>
      <c r="FG47" s="123"/>
      <c r="FH47" s="123"/>
      <c r="FI47" s="123"/>
      <c r="FJ47" s="123"/>
      <c r="FK47" s="123"/>
      <c r="FL47" s="123"/>
      <c r="FM47" s="123"/>
      <c r="FN47" s="123"/>
      <c r="FO47" s="123"/>
      <c r="FP47" s="123"/>
      <c r="FQ47" s="123"/>
      <c r="FR47" s="123"/>
      <c r="FS47" s="123"/>
      <c r="FT47" s="123"/>
      <c r="FU47" s="150"/>
      <c r="FV47" s="123"/>
      <c r="FW47" s="123"/>
      <c r="FX47" s="151"/>
      <c r="FY47" s="151"/>
      <c r="FZ47" s="151"/>
      <c r="GA47" s="151">
        <v>5.952055</v>
      </c>
      <c r="GB47" s="123">
        <v>0.168009200183802</v>
      </c>
      <c r="GC47" s="123"/>
      <c r="GD47" s="123">
        <v>16.8009200183802</v>
      </c>
      <c r="GE47" s="123">
        <v>0.692</v>
      </c>
      <c r="GF47" s="123">
        <v>0.834</v>
      </c>
      <c r="GG47" s="126">
        <v>76.3</v>
      </c>
      <c r="GQ47" s="123">
        <v>1</v>
      </c>
      <c r="GV47" s="123">
        <v>407</v>
      </c>
      <c r="HA47" s="123">
        <v>89</v>
      </c>
      <c r="HF47" s="123">
        <v>48</v>
      </c>
      <c r="HK47" s="123">
        <v>56</v>
      </c>
    </row>
    <row r="48" s="123" customFormat="1" ht="15" spans="1:219">
      <c r="A48" s="137" t="s">
        <v>480</v>
      </c>
      <c r="B48" s="185" t="s">
        <v>481</v>
      </c>
      <c r="C48" s="185" t="s">
        <v>481</v>
      </c>
      <c r="D48" s="138"/>
      <c r="E48" s="152" t="s">
        <v>325</v>
      </c>
      <c r="F48" s="138"/>
      <c r="G48" s="140"/>
      <c r="H48" s="141">
        <v>91567738</v>
      </c>
      <c r="I48" s="142">
        <v>226.311109463434</v>
      </c>
      <c r="J48" s="139">
        <v>436906331671.859</v>
      </c>
      <c r="K48" s="126">
        <v>62.6375863364957</v>
      </c>
      <c r="L48" s="123">
        <v>831</v>
      </c>
      <c r="M48" s="123">
        <v>831</v>
      </c>
      <c r="N48" s="123"/>
      <c r="O48" s="123"/>
      <c r="P48" s="123"/>
      <c r="Q48" s="123"/>
      <c r="R48" s="123">
        <v>1080</v>
      </c>
      <c r="S48" s="123"/>
      <c r="T48" s="123"/>
      <c r="U48" s="123"/>
      <c r="V48" s="123"/>
      <c r="W48" s="123">
        <v>0</v>
      </c>
      <c r="X48" s="123"/>
      <c r="Y48" s="123"/>
      <c r="Z48" s="123"/>
      <c r="AA48" s="123"/>
      <c r="AB48" s="123">
        <v>0</v>
      </c>
      <c r="AC48" s="153"/>
      <c r="AD48" s="153"/>
      <c r="AE48" s="153"/>
      <c r="AF48" s="153"/>
      <c r="AG48" s="153"/>
      <c r="AH48" s="153"/>
      <c r="AI48" s="153">
        <v>20</v>
      </c>
      <c r="AJ48" s="126"/>
      <c r="AK48" s="126"/>
      <c r="AL48" s="126"/>
      <c r="AM48" s="126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>
        <v>6</v>
      </c>
      <c r="BN48" s="123">
        <v>2</v>
      </c>
      <c r="BO48" s="123">
        <v>19</v>
      </c>
      <c r="BP48" s="123">
        <v>53</v>
      </c>
      <c r="BQ48" s="123">
        <v>0</v>
      </c>
      <c r="BR48" s="123">
        <f t="shared" si="1"/>
        <v>61</v>
      </c>
      <c r="BZ48" s="123">
        <v>7.84</v>
      </c>
      <c r="CA48" s="123">
        <v>8.06</v>
      </c>
      <c r="CB48" s="123">
        <v>14.15</v>
      </c>
      <c r="CC48" s="123">
        <v>4.25</v>
      </c>
      <c r="CD48" s="123">
        <v>16.04</v>
      </c>
      <c r="CE48" s="123">
        <v>10.38</v>
      </c>
      <c r="CF48" s="139">
        <v>10.12</v>
      </c>
      <c r="CG48" s="123">
        <v>0.799</v>
      </c>
      <c r="CH48" s="123">
        <v>79.9</v>
      </c>
      <c r="CI48" s="123">
        <v>45.01</v>
      </c>
      <c r="CJ48" s="123">
        <v>0.723578812630328</v>
      </c>
      <c r="CK48" s="123">
        <v>72.3578812630328</v>
      </c>
      <c r="CL48" s="123">
        <v>0.65639</v>
      </c>
      <c r="CM48" s="123">
        <v>65.639</v>
      </c>
      <c r="CN48" s="123">
        <v>0.1781</v>
      </c>
      <c r="CO48" s="123">
        <v>17.81</v>
      </c>
      <c r="CP48" s="123">
        <v>65.52</v>
      </c>
      <c r="CQ48" s="123"/>
      <c r="CR48" s="123">
        <v>55.3317203157582</v>
      </c>
      <c r="CS48" s="123">
        <v>69.5589001167134</v>
      </c>
      <c r="CT48" s="186"/>
      <c r="CU48" s="186"/>
      <c r="CV48" s="186"/>
      <c r="CW48" s="186">
        <v>1</v>
      </c>
      <c r="CX48" s="143">
        <v>100</v>
      </c>
      <c r="CY48" s="180">
        <v>1</v>
      </c>
      <c r="CZ48" s="143">
        <v>100</v>
      </c>
      <c r="DA48" s="180">
        <v>1</v>
      </c>
      <c r="DB48" s="143">
        <v>100</v>
      </c>
      <c r="DC48" s="181">
        <v>1</v>
      </c>
      <c r="DD48" s="123">
        <v>100</v>
      </c>
      <c r="DE48" s="126"/>
      <c r="DF48" s="123">
        <v>0</v>
      </c>
      <c r="DG48" s="144">
        <v>0</v>
      </c>
      <c r="DH48" s="144">
        <v>0</v>
      </c>
      <c r="DI48" s="123">
        <v>0</v>
      </c>
      <c r="DJ48" s="143">
        <v>0</v>
      </c>
      <c r="DK48" s="123"/>
      <c r="DL48" s="123">
        <v>0</v>
      </c>
      <c r="DM48" s="123">
        <v>0</v>
      </c>
      <c r="DN48" s="123"/>
      <c r="DO48" s="123">
        <v>0</v>
      </c>
      <c r="DP48" s="143">
        <v>0</v>
      </c>
      <c r="DQ48" s="123"/>
      <c r="DR48" s="123">
        <v>0</v>
      </c>
      <c r="DS48" s="145"/>
      <c r="DT48" s="143">
        <v>0</v>
      </c>
      <c r="DU48" s="123">
        <v>0</v>
      </c>
      <c r="DV48" s="146">
        <v>0</v>
      </c>
      <c r="DW48" s="187">
        <v>0</v>
      </c>
      <c r="DX48" s="147">
        <v>0</v>
      </c>
      <c r="DY48" s="147">
        <v>0</v>
      </c>
      <c r="DZ48" s="157">
        <v>1</v>
      </c>
      <c r="EA48" s="126"/>
      <c r="EB48" s="126"/>
      <c r="EC48" s="123">
        <v>2</v>
      </c>
      <c r="ED48" s="123">
        <v>100</v>
      </c>
      <c r="EE48" s="123"/>
      <c r="EF48" s="123"/>
      <c r="EG48" s="123"/>
      <c r="EH48" s="123"/>
      <c r="EI48" s="123"/>
      <c r="EJ48" s="123"/>
      <c r="EK48" s="123"/>
      <c r="EL48" s="123"/>
      <c r="EM48" s="150"/>
      <c r="EN48" s="150"/>
      <c r="EO48" s="150"/>
      <c r="EP48" s="150"/>
      <c r="EQ48" s="216" t="s">
        <v>482</v>
      </c>
      <c r="ER48" s="123">
        <v>71.5909090909091</v>
      </c>
      <c r="ES48" s="123"/>
      <c r="ET48" s="123"/>
      <c r="EU48" s="123"/>
      <c r="EV48" s="123"/>
      <c r="EW48" s="123"/>
      <c r="EX48" s="123"/>
      <c r="EY48" s="123"/>
      <c r="EZ48" s="123"/>
      <c r="FA48" s="123"/>
      <c r="FB48" s="123"/>
      <c r="FC48" s="123"/>
      <c r="FD48" s="123"/>
      <c r="FE48" s="123"/>
      <c r="FF48" s="123"/>
      <c r="FG48" s="123"/>
      <c r="FH48" s="123"/>
      <c r="FI48" s="123"/>
      <c r="FJ48" s="123"/>
      <c r="FK48" s="123"/>
      <c r="FL48" s="123"/>
      <c r="FM48" s="123"/>
      <c r="FN48" s="123"/>
      <c r="FO48" s="123"/>
      <c r="FP48" s="123"/>
      <c r="FQ48" s="123"/>
      <c r="FR48" s="123"/>
      <c r="FS48" s="123"/>
      <c r="FT48" s="123"/>
      <c r="FU48" s="150"/>
      <c r="FV48" s="123"/>
      <c r="FW48" s="123"/>
      <c r="FX48" s="151"/>
      <c r="FY48" s="151"/>
      <c r="FZ48" s="151"/>
      <c r="GA48" s="151">
        <v>4.914773</v>
      </c>
      <c r="GB48" s="123">
        <v>0.203468196801765</v>
      </c>
      <c r="GC48" s="123"/>
      <c r="GD48" s="123">
        <v>20.3468196801765</v>
      </c>
      <c r="GG48" s="126"/>
      <c r="GQ48" s="123">
        <v>5</v>
      </c>
      <c r="GV48" s="123">
        <v>274</v>
      </c>
      <c r="HA48" s="123">
        <v>93</v>
      </c>
      <c r="HF48" s="123">
        <v>43</v>
      </c>
      <c r="HK48" s="123">
        <v>48</v>
      </c>
    </row>
    <row r="49" s="123" customFormat="1" ht="15" spans="1:219">
      <c r="A49" s="137" t="s">
        <v>483</v>
      </c>
      <c r="B49" s="185" t="s">
        <v>484</v>
      </c>
      <c r="C49" s="185" t="s">
        <v>484</v>
      </c>
      <c r="D49" s="138"/>
      <c r="E49" s="139" t="s">
        <v>325</v>
      </c>
      <c r="F49" s="138"/>
      <c r="G49" s="140"/>
      <c r="H49" s="141">
        <v>9133712</v>
      </c>
      <c r="I49" s="142">
        <v>22.5741133437137</v>
      </c>
      <c r="J49" s="139">
        <v>75961865471.9129</v>
      </c>
      <c r="K49" s="126">
        <v>10.8903615302874</v>
      </c>
      <c r="L49" s="123">
        <v>5</v>
      </c>
      <c r="M49" s="123">
        <v>5</v>
      </c>
      <c r="N49" s="123"/>
      <c r="O49" s="123"/>
      <c r="P49" s="123"/>
      <c r="Q49" s="123"/>
      <c r="R49" s="123">
        <v>5</v>
      </c>
      <c r="S49" s="123"/>
      <c r="T49" s="123"/>
      <c r="U49" s="123"/>
      <c r="V49" s="123"/>
      <c r="W49" s="123">
        <v>0</v>
      </c>
      <c r="X49" s="123"/>
      <c r="Y49" s="123"/>
      <c r="Z49" s="123"/>
      <c r="AA49" s="123"/>
      <c r="AB49" s="123">
        <v>0</v>
      </c>
      <c r="AC49" s="153"/>
      <c r="AD49" s="153"/>
      <c r="AE49" s="153"/>
      <c r="AF49" s="153"/>
      <c r="AG49" s="153"/>
      <c r="AH49" s="153"/>
      <c r="AI49" s="153">
        <v>2</v>
      </c>
      <c r="AJ49" s="126"/>
      <c r="AK49" s="126"/>
      <c r="AL49" s="126"/>
      <c r="AM49" s="126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23"/>
      <c r="BD49" s="123"/>
      <c r="BE49" s="123"/>
      <c r="BF49" s="123"/>
      <c r="BG49" s="123"/>
      <c r="BH49" s="123"/>
      <c r="BI49" s="123"/>
      <c r="BJ49" s="123"/>
      <c r="BK49" s="123"/>
      <c r="BL49" s="123"/>
      <c r="BM49" s="123">
        <v>0</v>
      </c>
      <c r="BN49" s="150">
        <v>0</v>
      </c>
      <c r="BO49" s="150">
        <v>0</v>
      </c>
      <c r="BP49" s="123">
        <v>2</v>
      </c>
      <c r="BQ49" s="123">
        <v>0</v>
      </c>
      <c r="BR49" s="123">
        <f t="shared" si="1"/>
        <v>2</v>
      </c>
      <c r="BZ49" s="123">
        <v>3.92</v>
      </c>
      <c r="CA49" s="123">
        <v>18.48</v>
      </c>
      <c r="CB49" s="123">
        <v>15.09</v>
      </c>
      <c r="CC49" s="123">
        <v>7.55</v>
      </c>
      <c r="CD49" s="123">
        <v>11.32</v>
      </c>
      <c r="CE49" s="123">
        <v>26.89</v>
      </c>
      <c r="CF49" s="139">
        <v>13.875</v>
      </c>
      <c r="CG49" s="123">
        <v>0.824</v>
      </c>
      <c r="CH49" s="123">
        <v>82.4</v>
      </c>
      <c r="CI49" s="123">
        <v>48.1375</v>
      </c>
      <c r="CJ49" s="123">
        <v>0.406655371926127</v>
      </c>
      <c r="CK49" s="123">
        <v>40.6655371926127</v>
      </c>
      <c r="CL49" s="123">
        <v>0.74449</v>
      </c>
      <c r="CM49" s="123">
        <v>74.449</v>
      </c>
      <c r="CN49" s="123">
        <v>0.4932</v>
      </c>
      <c r="CO49" s="123">
        <v>49.32</v>
      </c>
      <c r="CP49" s="123">
        <v>61.45</v>
      </c>
      <c r="CQ49" s="123"/>
      <c r="CR49" s="123">
        <v>56.4711342981532</v>
      </c>
      <c r="CS49" s="123">
        <v>78.4657066420508</v>
      </c>
      <c r="CT49" s="186"/>
      <c r="CU49" s="186"/>
      <c r="CV49" s="186"/>
      <c r="CW49" s="186">
        <v>0</v>
      </c>
      <c r="CX49" s="143">
        <v>0</v>
      </c>
      <c r="CY49" s="180">
        <v>0</v>
      </c>
      <c r="CZ49" s="143">
        <v>0</v>
      </c>
      <c r="DA49" s="180">
        <v>0</v>
      </c>
      <c r="DB49" s="143">
        <v>0</v>
      </c>
      <c r="DC49" s="181">
        <v>0</v>
      </c>
      <c r="DD49" s="123">
        <v>0</v>
      </c>
      <c r="DE49" s="126"/>
      <c r="DF49" s="123">
        <v>0</v>
      </c>
      <c r="DG49" s="144">
        <v>0</v>
      </c>
      <c r="DH49" s="144">
        <v>0</v>
      </c>
      <c r="DI49" s="123">
        <v>0</v>
      </c>
      <c r="DJ49" s="143">
        <v>0</v>
      </c>
      <c r="DK49" s="123"/>
      <c r="DL49" s="123">
        <v>0</v>
      </c>
      <c r="DM49" s="123">
        <v>0</v>
      </c>
      <c r="DN49" s="123"/>
      <c r="DO49" s="123">
        <v>0</v>
      </c>
      <c r="DP49" s="143">
        <v>0</v>
      </c>
      <c r="DQ49" s="123"/>
      <c r="DR49" s="123">
        <v>0</v>
      </c>
      <c r="DS49" s="145"/>
      <c r="DT49" s="143">
        <v>0</v>
      </c>
      <c r="DU49" s="123">
        <v>0</v>
      </c>
      <c r="DV49" s="146">
        <v>0</v>
      </c>
      <c r="DW49" s="187">
        <v>0</v>
      </c>
      <c r="DX49" s="147">
        <v>0</v>
      </c>
      <c r="DY49" s="147">
        <v>0</v>
      </c>
      <c r="DZ49" s="157">
        <v>1</v>
      </c>
      <c r="EA49" s="126"/>
      <c r="EB49" s="126"/>
      <c r="EC49" s="123">
        <v>1</v>
      </c>
      <c r="ED49" s="123">
        <v>50</v>
      </c>
      <c r="EE49" s="123"/>
      <c r="EF49" s="123"/>
      <c r="EG49" s="123"/>
      <c r="EH49" s="123"/>
      <c r="EI49" s="123"/>
      <c r="EJ49" s="123"/>
      <c r="EK49" s="123"/>
      <c r="EL49" s="123"/>
      <c r="EM49" s="150"/>
      <c r="EN49" s="150"/>
      <c r="EO49" s="150"/>
      <c r="EP49" s="150"/>
      <c r="EQ49" s="216" t="s">
        <v>485</v>
      </c>
      <c r="ER49" s="123">
        <v>69.1333333333333</v>
      </c>
      <c r="ES49" s="123"/>
      <c r="ET49" s="123"/>
      <c r="EU49" s="123"/>
      <c r="EV49" s="123"/>
      <c r="EW49" s="123"/>
      <c r="EX49" s="123"/>
      <c r="EY49" s="123"/>
      <c r="EZ49" s="123"/>
      <c r="FA49" s="123"/>
      <c r="FB49" s="123"/>
      <c r="FC49" s="123"/>
      <c r="FD49" s="123"/>
      <c r="FE49" s="123"/>
      <c r="FF49" s="123"/>
      <c r="FG49" s="123"/>
      <c r="FH49" s="123"/>
      <c r="FI49" s="123"/>
      <c r="FJ49" s="123"/>
      <c r="FK49" s="123"/>
      <c r="FL49" s="123"/>
      <c r="FM49" s="123"/>
      <c r="FN49" s="123"/>
      <c r="FO49" s="123"/>
      <c r="FP49" s="123"/>
      <c r="FQ49" s="123"/>
      <c r="FR49" s="123"/>
      <c r="FS49" s="123"/>
      <c r="FT49" s="123"/>
      <c r="FU49" s="150"/>
      <c r="FV49" s="123"/>
      <c r="FW49" s="123"/>
      <c r="FX49" s="151"/>
      <c r="FY49" s="151"/>
      <c r="FZ49" s="151"/>
      <c r="GA49" s="151">
        <v>0.666667</v>
      </c>
      <c r="GB49" s="123">
        <v>1.49999925000037</v>
      </c>
      <c r="GC49" s="123"/>
      <c r="GD49" s="123">
        <v>149.999925000037</v>
      </c>
      <c r="GE49" s="123">
        <v>1</v>
      </c>
      <c r="GF49" s="123">
        <v>1</v>
      </c>
      <c r="GG49" s="126">
        <v>100</v>
      </c>
      <c r="GV49" s="123">
        <v>59</v>
      </c>
      <c r="HA49" s="123">
        <v>1</v>
      </c>
    </row>
    <row r="50" s="123" customFormat="1" ht="15" spans="1:219">
      <c r="A50" s="137" t="s">
        <v>486</v>
      </c>
      <c r="B50" s="188" t="s">
        <v>487</v>
      </c>
      <c r="C50" s="185" t="s">
        <v>488</v>
      </c>
      <c r="D50" s="138"/>
      <c r="E50" s="139" t="s">
        <v>337</v>
      </c>
      <c r="F50" s="138"/>
      <c r="G50" s="140"/>
      <c r="H50" s="141">
        <v>116538258</v>
      </c>
      <c r="I50" s="142">
        <v>288.026143693928</v>
      </c>
      <c r="J50" s="139">
        <v>389059911003.566</v>
      </c>
      <c r="K50" s="126">
        <v>55.7780283757899</v>
      </c>
      <c r="L50" s="123">
        <v>651</v>
      </c>
      <c r="M50" s="123">
        <v>651</v>
      </c>
      <c r="N50" s="123"/>
      <c r="O50" s="123"/>
      <c r="P50" s="123"/>
      <c r="Q50" s="123"/>
      <c r="R50" s="123">
        <v>689</v>
      </c>
      <c r="S50" s="123"/>
      <c r="T50" s="123"/>
      <c r="U50" s="123"/>
      <c r="V50" s="123"/>
      <c r="W50" s="123">
        <v>0</v>
      </c>
      <c r="X50" s="123"/>
      <c r="Y50" s="123"/>
      <c r="Z50" s="123"/>
      <c r="AA50" s="123"/>
      <c r="AB50" s="123">
        <v>0</v>
      </c>
      <c r="AC50" s="153"/>
      <c r="AD50" s="153"/>
      <c r="AE50" s="153"/>
      <c r="AF50" s="153"/>
      <c r="AG50" s="153"/>
      <c r="AH50" s="153"/>
      <c r="AI50" s="153">
        <v>13</v>
      </c>
      <c r="AJ50" s="126"/>
      <c r="AK50" s="126"/>
      <c r="AL50" s="126"/>
      <c r="AM50" s="126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  <c r="BH50" s="123"/>
      <c r="BI50" s="123"/>
      <c r="BJ50" s="123"/>
      <c r="BK50" s="123"/>
      <c r="BL50" s="123"/>
      <c r="BM50" s="123">
        <v>0</v>
      </c>
      <c r="BN50" s="150">
        <v>0</v>
      </c>
      <c r="BO50" s="123">
        <v>11</v>
      </c>
      <c r="BP50" s="123">
        <v>27</v>
      </c>
      <c r="BQ50" s="123">
        <v>0</v>
      </c>
      <c r="BR50" s="123">
        <f t="shared" si="1"/>
        <v>27</v>
      </c>
      <c r="BZ50" s="123">
        <v>10.78</v>
      </c>
      <c r="CA50" s="123">
        <v>16.59</v>
      </c>
      <c r="CB50" s="123">
        <v>41.98</v>
      </c>
      <c r="CC50" s="123">
        <v>26.89</v>
      </c>
      <c r="CD50" s="123">
        <v>44.34</v>
      </c>
      <c r="CE50" s="123">
        <v>24.53</v>
      </c>
      <c r="CF50" s="139">
        <v>27.5183333333333</v>
      </c>
      <c r="CG50" s="123">
        <v>0.754</v>
      </c>
      <c r="CH50" s="123">
        <v>75.4</v>
      </c>
      <c r="CI50" s="123">
        <v>51.4591666666667</v>
      </c>
      <c r="CJ50" s="123">
        <v>0.751393485971431</v>
      </c>
      <c r="CK50" s="123">
        <v>75.1393485971431</v>
      </c>
      <c r="CL50" s="123">
        <v>0.66994</v>
      </c>
      <c r="CM50" s="123">
        <v>66.994</v>
      </c>
      <c r="CN50" s="123">
        <v>0.589</v>
      </c>
      <c r="CO50" s="123">
        <v>58.9</v>
      </c>
      <c r="CP50" s="123">
        <v>100</v>
      </c>
      <c r="CQ50" s="123"/>
      <c r="CR50" s="123">
        <v>75.2583371492858</v>
      </c>
      <c r="CS50" s="123">
        <v>68.0910498493337</v>
      </c>
      <c r="CT50" s="189"/>
      <c r="CU50" s="189"/>
      <c r="CV50" s="189"/>
      <c r="CW50" s="189">
        <v>1</v>
      </c>
      <c r="CX50" s="143">
        <v>100</v>
      </c>
      <c r="CY50" s="180">
        <v>1</v>
      </c>
      <c r="CZ50" s="143">
        <v>100</v>
      </c>
      <c r="DA50" s="180">
        <v>1</v>
      </c>
      <c r="DB50" s="143">
        <v>100</v>
      </c>
      <c r="DC50" s="181">
        <v>1</v>
      </c>
      <c r="DD50" s="123">
        <v>100</v>
      </c>
      <c r="DE50" s="126"/>
      <c r="DF50" s="123">
        <v>1</v>
      </c>
      <c r="DG50" s="144">
        <v>100</v>
      </c>
      <c r="DH50" s="144">
        <v>100</v>
      </c>
      <c r="DI50" s="123">
        <v>1</v>
      </c>
      <c r="DJ50" s="143">
        <v>100</v>
      </c>
      <c r="DK50" s="123"/>
      <c r="DL50" s="123">
        <v>0</v>
      </c>
      <c r="DM50" s="123">
        <v>0</v>
      </c>
      <c r="DN50" s="123"/>
      <c r="DO50" s="123">
        <v>0</v>
      </c>
      <c r="DP50" s="143">
        <v>0</v>
      </c>
      <c r="DQ50" s="123"/>
      <c r="DR50" s="123">
        <v>0</v>
      </c>
      <c r="DS50" s="145"/>
      <c r="DT50" s="143">
        <v>0</v>
      </c>
      <c r="DU50" s="123">
        <v>0</v>
      </c>
      <c r="DV50" s="146">
        <v>0</v>
      </c>
      <c r="DW50" s="187">
        <v>0</v>
      </c>
      <c r="DX50" s="147">
        <v>0</v>
      </c>
      <c r="DY50" s="147">
        <v>0</v>
      </c>
      <c r="DZ50" s="157">
        <v>3</v>
      </c>
      <c r="EA50" s="126"/>
      <c r="EB50" s="126"/>
      <c r="EC50" s="123">
        <v>2</v>
      </c>
      <c r="ED50" s="123">
        <v>100</v>
      </c>
      <c r="EE50" s="123"/>
      <c r="EF50" s="123"/>
      <c r="EG50" s="123"/>
      <c r="EH50" s="123"/>
      <c r="EI50" s="123"/>
      <c r="EJ50" s="123"/>
      <c r="EK50" s="123"/>
      <c r="EL50" s="123">
        <v>3.3</v>
      </c>
      <c r="EM50" s="150"/>
      <c r="EN50" s="150"/>
      <c r="EO50" s="150"/>
      <c r="EP50" s="150"/>
      <c r="EQ50" s="216" t="s">
        <v>489</v>
      </c>
      <c r="ER50" s="123">
        <v>59.9111111111111</v>
      </c>
      <c r="ES50" s="123"/>
      <c r="ET50" s="123"/>
      <c r="EU50" s="123"/>
      <c r="EV50" s="123"/>
      <c r="EW50" s="123"/>
      <c r="EX50" s="123"/>
      <c r="EY50" s="123"/>
      <c r="EZ50" s="123"/>
      <c r="FA50" s="123"/>
      <c r="FB50" s="123"/>
      <c r="FC50" s="123"/>
      <c r="FD50" s="123"/>
      <c r="FE50" s="123"/>
      <c r="FF50" s="123"/>
      <c r="FG50" s="123"/>
      <c r="FH50" s="123"/>
      <c r="FI50" s="123"/>
      <c r="FJ50" s="123"/>
      <c r="FK50" s="123"/>
      <c r="FL50" s="123"/>
      <c r="FM50" s="123"/>
      <c r="FN50" s="123"/>
      <c r="FO50" s="123"/>
      <c r="FP50" s="123"/>
      <c r="FQ50" s="123"/>
      <c r="FR50" s="123"/>
      <c r="FS50" s="123"/>
      <c r="FT50" s="123"/>
      <c r="FU50" s="150"/>
      <c r="FV50" s="123"/>
      <c r="FW50" s="123"/>
      <c r="FX50" s="151"/>
      <c r="FY50" s="151"/>
      <c r="FZ50" s="151"/>
      <c r="GA50" s="151"/>
      <c r="GB50" s="123"/>
      <c r="GC50" s="123"/>
      <c r="GD50" s="123"/>
      <c r="GE50" s="123">
        <v>0.912</v>
      </c>
      <c r="GF50" s="123">
        <v>0.963</v>
      </c>
      <c r="GG50" s="126">
        <v>93.75</v>
      </c>
      <c r="GK50" s="123">
        <v>42.78</v>
      </c>
      <c r="GL50" s="123">
        <v>42.78</v>
      </c>
      <c r="GQ50" s="123">
        <v>1</v>
      </c>
      <c r="GR50" s="126"/>
      <c r="GS50" s="126"/>
      <c r="GT50" s="126"/>
      <c r="GU50" s="126"/>
      <c r="GV50" s="123">
        <v>1561</v>
      </c>
      <c r="HA50" s="123">
        <v>66</v>
      </c>
      <c r="HF50" s="123">
        <v>39</v>
      </c>
      <c r="HK50" s="123">
        <v>40</v>
      </c>
    </row>
    <row r="51" s="123" customFormat="1" ht="15" spans="1:219">
      <c r="A51" s="137" t="s">
        <v>490</v>
      </c>
      <c r="B51" s="185" t="s">
        <v>491</v>
      </c>
      <c r="C51" s="185" t="s">
        <v>491</v>
      </c>
      <c r="D51" s="138"/>
      <c r="E51" s="169" t="s">
        <v>492</v>
      </c>
      <c r="F51" s="138"/>
      <c r="G51" s="140"/>
      <c r="H51" s="141">
        <v>132059767</v>
      </c>
      <c r="I51" s="142">
        <v>326.387798126591</v>
      </c>
      <c r="J51" s="217" t="s">
        <v>493</v>
      </c>
      <c r="K51" s="126">
        <v>18.174917270628</v>
      </c>
      <c r="L51" s="123">
        <v>18</v>
      </c>
      <c r="M51" s="123">
        <v>18</v>
      </c>
      <c r="N51" s="123"/>
      <c r="O51" s="123"/>
      <c r="P51" s="123"/>
      <c r="Q51" s="123"/>
      <c r="R51" s="123">
        <v>24</v>
      </c>
      <c r="S51" s="123"/>
      <c r="T51" s="123"/>
      <c r="U51" s="123"/>
      <c r="V51" s="123"/>
      <c r="W51" s="123">
        <v>0</v>
      </c>
      <c r="X51" s="123"/>
      <c r="Y51" s="123"/>
      <c r="Z51" s="123"/>
      <c r="AA51" s="123"/>
      <c r="AB51" s="123">
        <v>0</v>
      </c>
      <c r="AC51" s="153"/>
      <c r="AD51" s="153"/>
      <c r="AE51" s="153"/>
      <c r="AF51" s="153"/>
      <c r="AG51" s="153"/>
      <c r="AH51" s="153"/>
      <c r="AI51" s="153">
        <v>5</v>
      </c>
      <c r="AJ51" s="126"/>
      <c r="AK51" s="126"/>
      <c r="AL51" s="126"/>
      <c r="AM51" s="126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>
        <v>0</v>
      </c>
      <c r="BN51" s="123">
        <v>2</v>
      </c>
      <c r="BO51" s="123">
        <v>1</v>
      </c>
      <c r="BP51" s="123">
        <v>9</v>
      </c>
      <c r="BQ51" s="123">
        <v>0</v>
      </c>
      <c r="BR51" s="123">
        <f t="shared" si="1"/>
        <v>11</v>
      </c>
      <c r="BZ51" s="123">
        <v>20.1</v>
      </c>
      <c r="CA51" s="123">
        <v>6.16</v>
      </c>
      <c r="CB51" s="123">
        <v>24.06</v>
      </c>
      <c r="CC51" s="123">
        <v>14.15</v>
      </c>
      <c r="CD51" s="123">
        <v>26.89</v>
      </c>
      <c r="CE51" s="123">
        <v>37.26</v>
      </c>
      <c r="CF51" s="139">
        <v>21.4366666666667</v>
      </c>
      <c r="CG51" s="123">
        <v>0.497</v>
      </c>
      <c r="CH51" s="123">
        <v>49.7</v>
      </c>
      <c r="CI51" s="123">
        <v>35.5683333333333</v>
      </c>
      <c r="CJ51" s="123">
        <v>0.580268218596235</v>
      </c>
      <c r="CK51" s="123">
        <v>58.0268218596235</v>
      </c>
      <c r="CL51" s="123">
        <v>0.31109</v>
      </c>
      <c r="CM51" s="123">
        <v>31.109</v>
      </c>
      <c r="CN51" s="123">
        <v>0.1644</v>
      </c>
      <c r="CO51" s="123">
        <v>16.44</v>
      </c>
      <c r="CP51" s="123">
        <v>76.34</v>
      </c>
      <c r="CQ51" s="123"/>
      <c r="CR51" s="123">
        <v>45.4789554649059</v>
      </c>
      <c r="CS51" s="123">
        <v>55.3967223482726</v>
      </c>
      <c r="CT51" s="186"/>
      <c r="CU51" s="186"/>
      <c r="CV51" s="186"/>
      <c r="CW51" s="186">
        <v>1</v>
      </c>
      <c r="CX51" s="143">
        <v>100</v>
      </c>
      <c r="CY51" s="180">
        <v>1</v>
      </c>
      <c r="CZ51" s="143">
        <v>100</v>
      </c>
      <c r="DA51" s="180">
        <v>1</v>
      </c>
      <c r="DB51" s="143">
        <v>100</v>
      </c>
      <c r="DC51" s="181">
        <v>1</v>
      </c>
      <c r="DD51" s="123">
        <v>100</v>
      </c>
      <c r="DE51" s="126"/>
      <c r="DF51" s="123">
        <v>0</v>
      </c>
      <c r="DG51" s="144">
        <v>0</v>
      </c>
      <c r="DH51" s="144">
        <v>0</v>
      </c>
      <c r="DI51" s="123">
        <v>0</v>
      </c>
      <c r="DJ51" s="143">
        <v>0</v>
      </c>
      <c r="DK51" s="123"/>
      <c r="DL51" s="123">
        <v>0</v>
      </c>
      <c r="DM51" s="123">
        <v>0</v>
      </c>
      <c r="DN51" s="123"/>
      <c r="DO51" s="123">
        <v>0</v>
      </c>
      <c r="DP51" s="143">
        <v>0</v>
      </c>
      <c r="DQ51" s="123"/>
      <c r="DR51" s="123">
        <v>0</v>
      </c>
      <c r="DS51" s="145"/>
      <c r="DT51" s="143">
        <v>0</v>
      </c>
      <c r="DU51" s="123">
        <v>0</v>
      </c>
      <c r="DV51" s="146">
        <v>0</v>
      </c>
      <c r="DW51" s="187">
        <v>0</v>
      </c>
      <c r="DX51" s="147">
        <v>0</v>
      </c>
      <c r="DY51" s="147">
        <v>0</v>
      </c>
      <c r="DZ51" s="157">
        <v>2</v>
      </c>
      <c r="EA51" s="126"/>
      <c r="EB51" s="126"/>
      <c r="EC51" s="123">
        <v>0</v>
      </c>
      <c r="ED51" s="123">
        <v>0</v>
      </c>
      <c r="EE51" s="123"/>
      <c r="EF51" s="123"/>
      <c r="EG51" s="123"/>
      <c r="EH51" s="123"/>
      <c r="EI51" s="123"/>
      <c r="EJ51" s="123"/>
      <c r="EK51" s="123"/>
      <c r="EL51" s="123"/>
      <c r="EM51" s="150"/>
      <c r="EN51" s="150"/>
      <c r="EO51" s="150"/>
      <c r="EP51" s="150"/>
      <c r="EQ51" s="216" t="s">
        <v>494</v>
      </c>
      <c r="ER51" s="123">
        <v>65.5111111111111</v>
      </c>
      <c r="ES51" s="123"/>
      <c r="ET51" s="123"/>
      <c r="EU51" s="123"/>
      <c r="EV51" s="123"/>
      <c r="EW51" s="123"/>
      <c r="EX51" s="123"/>
      <c r="EY51" s="123"/>
      <c r="EZ51" s="123"/>
      <c r="FA51" s="123"/>
      <c r="FB51" s="123"/>
      <c r="FC51" s="123"/>
      <c r="FD51" s="123"/>
      <c r="FE51" s="123"/>
      <c r="FF51" s="123"/>
      <c r="FG51" s="123"/>
      <c r="FH51" s="123"/>
      <c r="FI51" s="123"/>
      <c r="FJ51" s="123"/>
      <c r="FK51" s="123"/>
      <c r="FL51" s="123"/>
      <c r="FM51" s="123"/>
      <c r="FN51" s="123"/>
      <c r="FO51" s="123"/>
      <c r="FP51" s="123"/>
      <c r="FQ51" s="123"/>
      <c r="FR51" s="123"/>
      <c r="FS51" s="123"/>
      <c r="FT51" s="123"/>
      <c r="FU51" s="150"/>
      <c r="FV51" s="123"/>
      <c r="FW51" s="123"/>
      <c r="FX51" s="151"/>
      <c r="FY51" s="151"/>
      <c r="FZ51" s="151"/>
      <c r="GA51" s="151">
        <v>18</v>
      </c>
      <c r="GB51" s="123">
        <v>0.0555555555555556</v>
      </c>
      <c r="GC51" s="123"/>
      <c r="GD51" s="123">
        <v>5.55555555555556</v>
      </c>
      <c r="GE51" s="123">
        <v>0.625</v>
      </c>
      <c r="GF51" s="123">
        <v>0.799</v>
      </c>
      <c r="GG51" s="126">
        <v>71.2</v>
      </c>
      <c r="HA51" s="123">
        <v>1</v>
      </c>
      <c r="HF51" s="123">
        <v>1</v>
      </c>
      <c r="HK51" s="123">
        <v>0</v>
      </c>
    </row>
    <row r="52" s="123" customFormat="1" ht="15" spans="1:219">
      <c r="A52" s="137" t="s">
        <v>495</v>
      </c>
      <c r="B52" s="185" t="s">
        <v>496</v>
      </c>
      <c r="C52" s="185" t="s">
        <v>496</v>
      </c>
      <c r="D52" s="138"/>
      <c r="E52" s="139" t="s">
        <v>337</v>
      </c>
      <c r="F52" s="138"/>
      <c r="G52" s="140"/>
      <c r="H52" s="141">
        <v>100987686</v>
      </c>
      <c r="I52" s="142">
        <v>249.592659598132</v>
      </c>
      <c r="J52" s="139">
        <v>476388230307.175</v>
      </c>
      <c r="K52" s="126">
        <v>68.297954830207</v>
      </c>
      <c r="L52" s="123">
        <v>597</v>
      </c>
      <c r="M52" s="123">
        <v>597</v>
      </c>
      <c r="N52" s="123"/>
      <c r="O52" s="123"/>
      <c r="P52" s="123"/>
      <c r="Q52" s="123"/>
      <c r="R52" s="123">
        <v>1012</v>
      </c>
      <c r="S52" s="123"/>
      <c r="T52" s="123"/>
      <c r="U52" s="123"/>
      <c r="V52" s="123"/>
      <c r="W52" s="123">
        <v>9</v>
      </c>
      <c r="X52" s="123"/>
      <c r="Y52" s="123"/>
      <c r="Z52" s="123"/>
      <c r="AA52" s="123"/>
      <c r="AB52" s="123">
        <v>0</v>
      </c>
      <c r="AC52" s="153"/>
      <c r="AD52" s="153"/>
      <c r="AE52" s="153"/>
      <c r="AF52" s="153"/>
      <c r="AG52" s="153"/>
      <c r="AH52" s="153"/>
      <c r="AI52" s="153">
        <v>34</v>
      </c>
      <c r="AJ52" s="167"/>
      <c r="AK52" s="167"/>
      <c r="AL52" s="167"/>
      <c r="AM52" s="167"/>
      <c r="AN52" s="167">
        <v>46650</v>
      </c>
      <c r="AO52" s="167"/>
      <c r="AP52" s="167"/>
      <c r="AQ52" s="167"/>
      <c r="AR52" s="167">
        <v>67443</v>
      </c>
      <c r="AS52" s="126"/>
      <c r="AT52" s="126"/>
      <c r="AU52" s="126"/>
      <c r="AV52" s="126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123"/>
      <c r="BM52" s="123">
        <v>2</v>
      </c>
      <c r="BN52" s="123">
        <v>2</v>
      </c>
      <c r="BO52" s="150">
        <v>0</v>
      </c>
      <c r="BP52" s="123">
        <v>0</v>
      </c>
      <c r="BQ52" s="123">
        <v>0</v>
      </c>
      <c r="BR52" s="123">
        <f t="shared" si="1"/>
        <v>4</v>
      </c>
      <c r="CF52" s="139" t="e">
        <v>#DIV/0!</v>
      </c>
      <c r="CG52" s="123">
        <v>0.766</v>
      </c>
      <c r="CH52" s="123">
        <v>76.6</v>
      </c>
      <c r="CI52" s="123" t="e">
        <v>#DIV/0!</v>
      </c>
      <c r="CJ52" s="123">
        <v>0.681787836069681</v>
      </c>
      <c r="CK52" s="123">
        <v>68.1787836069681</v>
      </c>
      <c r="CL52" s="123">
        <v>0.77092</v>
      </c>
      <c r="CM52" s="123">
        <v>77.092</v>
      </c>
      <c r="CN52" s="123">
        <v>0.6027</v>
      </c>
      <c r="CO52" s="123">
        <v>60.27</v>
      </c>
      <c r="CP52" s="123">
        <v>99.74</v>
      </c>
      <c r="CQ52" s="123"/>
      <c r="CR52" s="123">
        <v>76.320195901742</v>
      </c>
      <c r="CS52" s="123">
        <v>73.354551916221</v>
      </c>
      <c r="CT52" s="186"/>
      <c r="CU52" s="186"/>
      <c r="CV52" s="186"/>
      <c r="CW52" s="186">
        <v>1</v>
      </c>
      <c r="CX52" s="143">
        <v>100</v>
      </c>
      <c r="CY52" s="180">
        <v>1</v>
      </c>
      <c r="CZ52" s="143">
        <v>100</v>
      </c>
      <c r="DA52" s="180">
        <v>1</v>
      </c>
      <c r="DB52" s="143">
        <v>100</v>
      </c>
      <c r="DC52" s="181">
        <v>1</v>
      </c>
      <c r="DD52" s="123">
        <v>100</v>
      </c>
      <c r="DE52" s="126"/>
      <c r="DF52" s="123">
        <v>0</v>
      </c>
      <c r="DG52" s="144">
        <v>0</v>
      </c>
      <c r="DH52" s="144">
        <v>0</v>
      </c>
      <c r="DI52" s="123">
        <v>0</v>
      </c>
      <c r="DJ52" s="143">
        <v>0</v>
      </c>
      <c r="DK52" s="123"/>
      <c r="DL52" s="123">
        <v>0</v>
      </c>
      <c r="DM52" s="123">
        <v>0</v>
      </c>
      <c r="DN52" s="123"/>
      <c r="DO52" s="123">
        <v>0</v>
      </c>
      <c r="DP52" s="143">
        <v>0</v>
      </c>
      <c r="DQ52" s="123"/>
      <c r="DR52" s="123">
        <v>1</v>
      </c>
      <c r="DS52" s="145"/>
      <c r="DT52" s="143">
        <v>0</v>
      </c>
      <c r="DU52" s="123">
        <v>0</v>
      </c>
      <c r="DV52" s="146">
        <v>0</v>
      </c>
      <c r="DW52" s="187">
        <v>0</v>
      </c>
      <c r="DX52" s="147">
        <v>0</v>
      </c>
      <c r="DY52" s="147">
        <v>0</v>
      </c>
      <c r="DZ52" s="157">
        <v>2</v>
      </c>
      <c r="EA52" s="126"/>
      <c r="EB52" s="126"/>
      <c r="EC52" s="123">
        <v>0</v>
      </c>
      <c r="ED52" s="123">
        <v>0</v>
      </c>
      <c r="EE52" s="123"/>
      <c r="EF52" s="123"/>
      <c r="EG52" s="123"/>
      <c r="EH52" s="123"/>
      <c r="EI52" s="123"/>
      <c r="EJ52" s="123">
        <v>469</v>
      </c>
      <c r="EK52" s="123"/>
      <c r="EL52" s="123">
        <v>1.7</v>
      </c>
      <c r="EM52" s="150"/>
      <c r="EN52" s="150"/>
      <c r="EO52" s="150"/>
      <c r="EP52" s="150"/>
      <c r="EQ52" s="216" t="s">
        <v>497</v>
      </c>
      <c r="ER52" s="123">
        <v>82.4666666666667</v>
      </c>
      <c r="ES52" s="123"/>
      <c r="ET52" s="123"/>
      <c r="EU52" s="123"/>
      <c r="EV52" s="123"/>
      <c r="EW52" s="123"/>
      <c r="EX52" s="123"/>
      <c r="EY52" s="123"/>
      <c r="EZ52" s="123"/>
      <c r="FA52" s="123"/>
      <c r="FB52" s="123"/>
      <c r="FC52" s="123"/>
      <c r="FD52" s="123"/>
      <c r="FE52" s="123"/>
      <c r="FF52" s="123"/>
      <c r="FG52" s="123"/>
      <c r="FH52" s="123"/>
      <c r="FI52" s="123"/>
      <c r="FJ52" s="123"/>
      <c r="FK52" s="123"/>
      <c r="FL52" s="123"/>
      <c r="FM52" s="123"/>
      <c r="FN52" s="123"/>
      <c r="FO52" s="123"/>
      <c r="FP52" s="123"/>
      <c r="FQ52" s="123"/>
      <c r="FR52" s="123"/>
      <c r="FS52" s="123"/>
      <c r="FT52" s="123"/>
      <c r="FU52" s="150"/>
      <c r="FV52" s="123"/>
      <c r="FW52" s="123"/>
      <c r="FX52" s="151"/>
      <c r="FY52" s="151"/>
      <c r="FZ52" s="151"/>
      <c r="GA52" s="151">
        <v>5.421569</v>
      </c>
      <c r="GB52" s="123">
        <v>0.184448450254899</v>
      </c>
      <c r="GC52" s="123"/>
      <c r="GD52" s="123">
        <v>18.4448450254899</v>
      </c>
      <c r="GE52" s="123">
        <v>1</v>
      </c>
      <c r="GF52" s="123">
        <v>1</v>
      </c>
      <c r="GG52" s="126">
        <v>100</v>
      </c>
      <c r="GQ52" s="123">
        <v>8</v>
      </c>
      <c r="GS52" s="123">
        <v>7</v>
      </c>
      <c r="GV52" s="123">
        <v>555</v>
      </c>
      <c r="HA52" s="123">
        <v>68</v>
      </c>
      <c r="HF52" s="123">
        <v>66</v>
      </c>
      <c r="HK52" s="123">
        <v>43</v>
      </c>
    </row>
    <row r="53" s="123" customFormat="1" ht="15" spans="1:219">
      <c r="A53" s="137" t="s">
        <v>498</v>
      </c>
      <c r="B53" s="185" t="s">
        <v>499</v>
      </c>
      <c r="C53" s="185" t="s">
        <v>500</v>
      </c>
      <c r="D53" s="138"/>
      <c r="E53" s="139" t="s">
        <v>337</v>
      </c>
      <c r="F53" s="138"/>
      <c r="G53" s="140"/>
      <c r="H53" s="141">
        <v>115843670</v>
      </c>
      <c r="I53" s="142">
        <v>286.309458490892</v>
      </c>
      <c r="J53" s="139">
        <v>461617509782.355</v>
      </c>
      <c r="K53" s="126">
        <v>66.1803332370722</v>
      </c>
      <c r="L53" s="123">
        <v>246</v>
      </c>
      <c r="M53" s="123">
        <v>246</v>
      </c>
      <c r="N53" s="123"/>
      <c r="O53" s="123"/>
      <c r="P53" s="123"/>
      <c r="Q53" s="123"/>
      <c r="R53" s="123">
        <v>2</v>
      </c>
      <c r="S53" s="123"/>
      <c r="T53" s="123"/>
      <c r="U53" s="123"/>
      <c r="V53" s="123"/>
      <c r="W53" s="123">
        <v>15</v>
      </c>
      <c r="X53" s="123"/>
      <c r="Y53" s="123"/>
      <c r="Z53" s="123"/>
      <c r="AA53" s="123"/>
      <c r="AB53" s="123">
        <v>0</v>
      </c>
      <c r="AC53" s="153"/>
      <c r="AD53" s="153"/>
      <c r="AE53" s="153"/>
      <c r="AF53" s="153"/>
      <c r="AG53" s="153"/>
      <c r="AH53" s="153"/>
      <c r="AI53" s="153">
        <v>31</v>
      </c>
      <c r="AJ53" s="126"/>
      <c r="AK53" s="126"/>
      <c r="AL53" s="126"/>
      <c r="AM53" s="126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  <c r="BC53" s="123"/>
      <c r="BD53" s="123"/>
      <c r="BE53" s="123"/>
      <c r="BF53" s="123"/>
      <c r="BG53" s="123"/>
      <c r="BH53" s="123"/>
      <c r="BI53" s="123"/>
      <c r="BJ53" s="123"/>
      <c r="BK53" s="123"/>
      <c r="BL53" s="123"/>
      <c r="BM53" s="123">
        <v>3</v>
      </c>
      <c r="BN53" s="123">
        <v>8</v>
      </c>
      <c r="BO53" s="123">
        <v>10</v>
      </c>
      <c r="BP53" s="123">
        <v>19</v>
      </c>
      <c r="BQ53" s="123">
        <v>0</v>
      </c>
      <c r="BR53" s="123">
        <f t="shared" si="1"/>
        <v>30</v>
      </c>
      <c r="BZ53" s="123">
        <v>46.57</v>
      </c>
      <c r="CA53" s="123">
        <v>23.7</v>
      </c>
      <c r="CB53" s="123">
        <v>58.02</v>
      </c>
      <c r="CC53" s="123">
        <v>57.55</v>
      </c>
      <c r="CD53" s="123">
        <v>37.26</v>
      </c>
      <c r="CE53" s="123">
        <v>32.55</v>
      </c>
      <c r="CF53" s="139">
        <v>42.6083333333333</v>
      </c>
      <c r="CG53" s="123">
        <v>0.72</v>
      </c>
      <c r="CH53" s="123">
        <v>72</v>
      </c>
      <c r="CI53" s="123">
        <v>57.3041666666666</v>
      </c>
      <c r="CJ53" s="123">
        <v>0.732639441116019</v>
      </c>
      <c r="CK53" s="123">
        <v>73.2639441116019</v>
      </c>
      <c r="CL53" s="123">
        <v>0.76212</v>
      </c>
      <c r="CM53" s="123">
        <v>76.212</v>
      </c>
      <c r="CN53" s="123">
        <v>0.726</v>
      </c>
      <c r="CO53" s="123">
        <v>72.6</v>
      </c>
      <c r="CP53" s="123">
        <v>93.49</v>
      </c>
      <c r="CQ53" s="123"/>
      <c r="CR53" s="123">
        <v>78.8914860279005</v>
      </c>
      <c r="CS53" s="123">
        <v>68.3352052987862</v>
      </c>
      <c r="CT53" s="186"/>
      <c r="CU53" s="186"/>
      <c r="CV53" s="186"/>
      <c r="CW53" s="186">
        <v>1</v>
      </c>
      <c r="CX53" s="143">
        <v>100</v>
      </c>
      <c r="CY53" s="180">
        <v>1</v>
      </c>
      <c r="CZ53" s="143">
        <v>100</v>
      </c>
      <c r="DA53" s="180">
        <v>1</v>
      </c>
      <c r="DB53" s="143">
        <v>100</v>
      </c>
      <c r="DC53" s="181">
        <v>1</v>
      </c>
      <c r="DD53" s="123">
        <v>100</v>
      </c>
      <c r="DE53" s="126"/>
      <c r="DF53" s="123">
        <v>0</v>
      </c>
      <c r="DG53" s="144">
        <v>0</v>
      </c>
      <c r="DH53" s="144">
        <v>0</v>
      </c>
      <c r="DI53" s="123">
        <v>0</v>
      </c>
      <c r="DJ53" s="143">
        <v>0</v>
      </c>
      <c r="DK53" s="123"/>
      <c r="DL53" s="123">
        <v>0</v>
      </c>
      <c r="DM53" s="123">
        <v>0</v>
      </c>
      <c r="DN53" s="123"/>
      <c r="DO53" s="123">
        <v>0</v>
      </c>
      <c r="DP53" s="143">
        <v>0</v>
      </c>
      <c r="DQ53" s="123"/>
      <c r="DR53" s="123">
        <v>0</v>
      </c>
      <c r="DS53" s="145"/>
      <c r="DT53" s="143">
        <v>0</v>
      </c>
      <c r="DU53" s="123">
        <v>0</v>
      </c>
      <c r="DV53" s="146">
        <v>0</v>
      </c>
      <c r="DW53" s="190">
        <v>0</v>
      </c>
      <c r="DX53" s="147">
        <v>0</v>
      </c>
      <c r="DY53" s="147">
        <v>0</v>
      </c>
      <c r="DZ53" s="157">
        <v>4</v>
      </c>
      <c r="EA53" s="126"/>
      <c r="EB53" s="126"/>
      <c r="EC53" s="123">
        <v>2</v>
      </c>
      <c r="ED53" s="123">
        <v>100</v>
      </c>
      <c r="EE53" s="123"/>
      <c r="EF53" s="123"/>
      <c r="EG53" s="123"/>
      <c r="EH53" s="123"/>
      <c r="EI53" s="123"/>
      <c r="EJ53" s="123">
        <v>355</v>
      </c>
      <c r="EK53" s="123"/>
      <c r="EL53" s="123">
        <v>2.7</v>
      </c>
      <c r="EM53" s="150"/>
      <c r="EN53" s="150"/>
      <c r="EO53" s="150"/>
      <c r="EP53" s="150"/>
      <c r="EQ53" s="216" t="s">
        <v>501</v>
      </c>
      <c r="ER53" s="123">
        <v>77.2888888888889</v>
      </c>
      <c r="ES53" s="123"/>
      <c r="ET53" s="123"/>
      <c r="EU53" s="123"/>
      <c r="EV53" s="123"/>
      <c r="EW53" s="123"/>
      <c r="EX53" s="123"/>
      <c r="EY53" s="123"/>
      <c r="EZ53" s="123"/>
      <c r="FA53" s="123"/>
      <c r="FB53" s="123"/>
      <c r="FC53" s="123"/>
      <c r="FD53" s="123"/>
      <c r="FE53" s="123"/>
      <c r="FF53" s="123"/>
      <c r="FG53" s="123"/>
      <c r="FH53" s="123"/>
      <c r="FI53" s="123"/>
      <c r="FJ53" s="123"/>
      <c r="FK53" s="123"/>
      <c r="FL53" s="123"/>
      <c r="FM53" s="123"/>
      <c r="FN53" s="123"/>
      <c r="FO53" s="123"/>
      <c r="FP53" s="123"/>
      <c r="FQ53" s="123"/>
      <c r="FR53" s="123"/>
      <c r="FS53" s="123"/>
      <c r="FT53" s="123"/>
      <c r="FU53" s="150"/>
      <c r="FV53" s="123"/>
      <c r="FW53" s="123"/>
      <c r="FX53" s="151"/>
      <c r="FY53" s="151"/>
      <c r="FZ53" s="151"/>
      <c r="GA53" s="151"/>
      <c r="GB53" s="123"/>
      <c r="GC53" s="123"/>
      <c r="GD53" s="123"/>
      <c r="GE53" s="123">
        <v>0.954</v>
      </c>
      <c r="GF53" s="123">
        <v>1</v>
      </c>
      <c r="GG53" s="126">
        <v>97.7</v>
      </c>
      <c r="GV53" s="123">
        <v>5036</v>
      </c>
      <c r="HA53" s="123">
        <v>61</v>
      </c>
      <c r="HF53" s="123">
        <v>11</v>
      </c>
      <c r="HK53" s="123">
        <v>22</v>
      </c>
    </row>
    <row r="54" s="123" customFormat="1" ht="15" spans="1:219">
      <c r="A54" s="137" t="s">
        <v>502</v>
      </c>
      <c r="B54" s="185" t="s">
        <v>503</v>
      </c>
      <c r="C54" s="185" t="s">
        <v>504</v>
      </c>
      <c r="D54" s="138"/>
      <c r="E54" s="139" t="s">
        <v>293</v>
      </c>
      <c r="F54" s="138"/>
      <c r="G54" s="140"/>
      <c r="H54" s="141">
        <v>462721</v>
      </c>
      <c r="I54" s="142">
        <v>1.14362225352809</v>
      </c>
      <c r="J54" s="139">
        <v>15463134387.2013</v>
      </c>
      <c r="K54" s="126">
        <v>2.21689031492135</v>
      </c>
      <c r="L54" s="123">
        <v>12</v>
      </c>
      <c r="M54" s="123">
        <v>12</v>
      </c>
      <c r="N54" s="123"/>
      <c r="O54" s="123"/>
      <c r="P54" s="123"/>
      <c r="Q54" s="123"/>
      <c r="R54" s="123">
        <v>16</v>
      </c>
      <c r="S54" s="123"/>
      <c r="T54" s="123"/>
      <c r="U54" s="123"/>
      <c r="V54" s="123"/>
      <c r="W54" s="123">
        <v>0</v>
      </c>
      <c r="X54" s="123"/>
      <c r="Y54" s="123"/>
      <c r="Z54" s="123"/>
      <c r="AA54" s="123"/>
      <c r="AB54" s="123">
        <v>0</v>
      </c>
      <c r="AC54" s="153"/>
      <c r="AD54" s="153"/>
      <c r="AE54" s="153"/>
      <c r="AF54" s="153"/>
      <c r="AG54" s="153"/>
      <c r="AH54" s="153"/>
      <c r="AI54" s="153">
        <v>4</v>
      </c>
      <c r="AJ54" s="126"/>
      <c r="AK54" s="126"/>
      <c r="AL54" s="126"/>
      <c r="AM54" s="126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  <c r="BC54" s="123"/>
      <c r="BD54" s="123"/>
      <c r="BE54" s="123"/>
      <c r="BF54" s="123"/>
      <c r="BG54" s="123"/>
      <c r="BH54" s="123"/>
      <c r="BI54" s="123"/>
      <c r="BJ54" s="123"/>
      <c r="BK54" s="123"/>
      <c r="BL54" s="123"/>
      <c r="BM54" s="123">
        <v>1</v>
      </c>
      <c r="BN54" s="123">
        <v>1</v>
      </c>
      <c r="BO54" s="150">
        <v>0</v>
      </c>
      <c r="BP54" s="123">
        <v>0</v>
      </c>
      <c r="BQ54" s="123">
        <v>0</v>
      </c>
      <c r="BR54" s="123">
        <f t="shared" si="1"/>
        <v>2</v>
      </c>
      <c r="BZ54" s="123">
        <v>28.92</v>
      </c>
      <c r="CA54" s="123">
        <v>96.68</v>
      </c>
      <c r="CB54" s="123">
        <v>90.09</v>
      </c>
      <c r="CC54" s="123">
        <v>80.66</v>
      </c>
      <c r="CD54" s="123">
        <v>79.25</v>
      </c>
      <c r="CE54" s="123">
        <v>88.68</v>
      </c>
      <c r="CF54" s="139">
        <v>77.38</v>
      </c>
      <c r="CG54" s="123">
        <v>0.837</v>
      </c>
      <c r="CH54" s="123">
        <v>83.7</v>
      </c>
      <c r="CI54" s="123">
        <v>80.54</v>
      </c>
      <c r="CJ54" s="123">
        <v>0.655055781027482</v>
      </c>
      <c r="CK54" s="123">
        <v>65.5055781027482</v>
      </c>
      <c r="CL54" s="123">
        <v>0.75536</v>
      </c>
      <c r="CM54" s="123">
        <v>75.536</v>
      </c>
      <c r="CN54" s="123">
        <v>0.4658</v>
      </c>
      <c r="CO54" s="123">
        <v>46.58</v>
      </c>
      <c r="CP54" s="123">
        <v>70.38</v>
      </c>
      <c r="CQ54" s="123"/>
      <c r="CR54" s="123">
        <v>64.500394525687</v>
      </c>
      <c r="CS54" s="123">
        <v>67.9675367471989</v>
      </c>
      <c r="CT54" s="186"/>
      <c r="CU54" s="186"/>
      <c r="CV54" s="186"/>
      <c r="CW54" s="186">
        <v>0</v>
      </c>
      <c r="CX54" s="143">
        <v>0</v>
      </c>
      <c r="CY54" s="180">
        <v>0</v>
      </c>
      <c r="CZ54" s="143">
        <v>0</v>
      </c>
      <c r="DA54" s="180">
        <v>0</v>
      </c>
      <c r="DB54" s="143">
        <v>0</v>
      </c>
      <c r="DC54" s="181">
        <v>0</v>
      </c>
      <c r="DD54" s="123">
        <v>0</v>
      </c>
      <c r="DE54" s="126"/>
      <c r="DF54" s="123">
        <v>0</v>
      </c>
      <c r="DG54" s="144">
        <v>0</v>
      </c>
      <c r="DH54" s="144">
        <v>0</v>
      </c>
      <c r="DI54" s="123">
        <v>0</v>
      </c>
      <c r="DJ54" s="143">
        <v>0</v>
      </c>
      <c r="DK54" s="123"/>
      <c r="DL54" s="123">
        <v>0</v>
      </c>
      <c r="DM54" s="123">
        <v>0</v>
      </c>
      <c r="DN54" s="150"/>
      <c r="DO54" s="150">
        <v>0</v>
      </c>
      <c r="DP54" s="143">
        <v>0</v>
      </c>
      <c r="DQ54" s="123"/>
      <c r="DR54" s="123">
        <v>0</v>
      </c>
      <c r="DS54" s="145"/>
      <c r="DT54" s="143">
        <v>0</v>
      </c>
      <c r="DU54" s="123">
        <v>0</v>
      </c>
      <c r="DV54" s="146">
        <v>0</v>
      </c>
      <c r="DW54" s="187">
        <v>0</v>
      </c>
      <c r="DX54" s="147">
        <v>0</v>
      </c>
      <c r="DY54" s="147">
        <v>0</v>
      </c>
      <c r="DZ54" s="157">
        <v>2</v>
      </c>
      <c r="EA54" s="126"/>
      <c r="EB54" s="126"/>
      <c r="EC54" s="123">
        <v>0</v>
      </c>
      <c r="ED54" s="123">
        <v>0</v>
      </c>
      <c r="EE54" s="123"/>
      <c r="EF54" s="123"/>
      <c r="EG54" s="123"/>
      <c r="EH54" s="123"/>
      <c r="EI54" s="123"/>
      <c r="EJ54" s="123">
        <v>442</v>
      </c>
      <c r="EK54" s="123"/>
      <c r="EL54" s="123"/>
      <c r="EM54" s="150"/>
      <c r="EN54" s="150"/>
      <c r="EO54" s="150"/>
      <c r="EP54" s="150"/>
      <c r="EQ54" s="216" t="s">
        <v>505</v>
      </c>
      <c r="ER54" s="123">
        <v>27.8222222222222</v>
      </c>
      <c r="ES54" s="123"/>
      <c r="ET54" s="123"/>
      <c r="EU54" s="123"/>
      <c r="EV54" s="123"/>
      <c r="EW54" s="123"/>
      <c r="EX54" s="123"/>
      <c r="EY54" s="123"/>
      <c r="EZ54" s="123"/>
      <c r="FA54" s="123"/>
      <c r="FB54" s="123"/>
      <c r="FC54" s="123"/>
      <c r="FD54" s="123"/>
      <c r="FE54" s="123"/>
      <c r="FF54" s="123"/>
      <c r="FG54" s="123"/>
      <c r="FH54" s="123"/>
      <c r="FI54" s="123"/>
      <c r="FJ54" s="123"/>
      <c r="FK54" s="123"/>
      <c r="FL54" s="123"/>
      <c r="FM54" s="123"/>
      <c r="FN54" s="123"/>
      <c r="FO54" s="123"/>
      <c r="FP54" s="123"/>
      <c r="FQ54" s="123"/>
      <c r="FR54" s="123"/>
      <c r="FS54" s="123"/>
      <c r="FT54" s="123"/>
      <c r="FU54" s="150"/>
      <c r="FV54" s="123"/>
      <c r="FW54" s="123"/>
      <c r="FX54" s="151"/>
      <c r="FY54" s="151"/>
      <c r="FZ54" s="151"/>
      <c r="GA54" s="151"/>
      <c r="GB54" s="123"/>
      <c r="GC54" s="123"/>
      <c r="GD54" s="123"/>
      <c r="GE54" s="123">
        <v>1</v>
      </c>
      <c r="GF54" s="123">
        <v>1</v>
      </c>
      <c r="GG54" s="126">
        <v>100</v>
      </c>
      <c r="HA54" s="123">
        <v>2</v>
      </c>
      <c r="HF54" s="123">
        <v>1</v>
      </c>
      <c r="HK54" s="123">
        <v>1</v>
      </c>
    </row>
    <row r="55" s="123" customFormat="1" ht="15" spans="1:219">
      <c r="A55" s="137" t="s">
        <v>506</v>
      </c>
      <c r="B55" s="185" t="s">
        <v>507</v>
      </c>
      <c r="C55" s="185" t="s">
        <v>508</v>
      </c>
      <c r="D55" s="138"/>
      <c r="E55" s="139" t="s">
        <v>337</v>
      </c>
      <c r="F55" s="138"/>
      <c r="G55" s="140"/>
      <c r="H55" s="141">
        <v>10576502</v>
      </c>
      <c r="I55" s="142">
        <v>26.1399915968463</v>
      </c>
      <c r="J55" s="139">
        <v>32538480023.9998</v>
      </c>
      <c r="K55" s="126">
        <v>4.66491717792815</v>
      </c>
      <c r="L55" s="123">
        <v>0</v>
      </c>
      <c r="M55" s="123">
        <v>0</v>
      </c>
      <c r="N55" s="123"/>
      <c r="O55" s="123"/>
      <c r="P55" s="123"/>
      <c r="Q55" s="123"/>
      <c r="R55" s="123">
        <v>0</v>
      </c>
      <c r="S55" s="123"/>
      <c r="T55" s="123"/>
      <c r="U55" s="123"/>
      <c r="V55" s="123"/>
      <c r="W55" s="123">
        <v>0</v>
      </c>
      <c r="X55" s="150"/>
      <c r="Y55" s="150"/>
      <c r="Z55" s="150"/>
      <c r="AA55" s="150"/>
      <c r="AB55" s="150">
        <v>0</v>
      </c>
      <c r="AC55" s="191"/>
      <c r="AD55" s="191"/>
      <c r="AE55" s="191"/>
      <c r="AF55" s="191"/>
      <c r="AG55" s="191"/>
      <c r="AH55" s="191"/>
      <c r="AI55" s="191">
        <v>1</v>
      </c>
      <c r="AJ55" s="126"/>
      <c r="AK55" s="126"/>
      <c r="AL55" s="126"/>
      <c r="AM55" s="126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  <c r="BC55" s="123"/>
      <c r="BD55" s="123"/>
      <c r="BE55" s="123"/>
      <c r="BF55" s="123"/>
      <c r="BG55" s="123"/>
      <c r="BH55" s="123"/>
      <c r="BI55" s="123"/>
      <c r="BJ55" s="123"/>
      <c r="BK55" s="123"/>
      <c r="BL55" s="123"/>
      <c r="BM55" s="123">
        <v>0</v>
      </c>
      <c r="BN55" s="150">
        <v>0</v>
      </c>
      <c r="BO55" s="150">
        <v>0</v>
      </c>
      <c r="BP55" s="123">
        <v>0</v>
      </c>
      <c r="BQ55" s="123">
        <v>0</v>
      </c>
      <c r="BR55" s="123">
        <f t="shared" si="1"/>
        <v>0</v>
      </c>
      <c r="BZ55" s="123">
        <v>47.06</v>
      </c>
      <c r="CA55" s="123">
        <v>27.01</v>
      </c>
      <c r="CB55" s="123">
        <v>22.17</v>
      </c>
      <c r="CC55" s="123">
        <v>27.83</v>
      </c>
      <c r="CD55" s="123">
        <v>29.72</v>
      </c>
      <c r="CE55" s="123">
        <v>27.36</v>
      </c>
      <c r="CF55" s="139">
        <v>30.1916666666667</v>
      </c>
      <c r="CG55" s="123">
        <v>0.576</v>
      </c>
      <c r="CH55" s="123">
        <v>57.6</v>
      </c>
      <c r="CI55" s="123">
        <v>43.8958333333333</v>
      </c>
      <c r="CJ55" s="123">
        <v>0.46490589034258</v>
      </c>
      <c r="CK55" s="123">
        <v>46.490589034258</v>
      </c>
      <c r="CL55" s="123">
        <v>0.30756</v>
      </c>
      <c r="CM55" s="123">
        <v>30.756</v>
      </c>
      <c r="CN55" s="123">
        <v>0.1918</v>
      </c>
      <c r="CO55" s="123">
        <v>19.18</v>
      </c>
      <c r="CP55" s="123">
        <v>62.6</v>
      </c>
      <c r="CQ55" s="123"/>
      <c r="CR55" s="123">
        <v>39.7566472585645</v>
      </c>
      <c r="CS55" s="123">
        <v>53.4427099170437</v>
      </c>
      <c r="CT55" s="186"/>
      <c r="CU55" s="186"/>
      <c r="CV55" s="186"/>
      <c r="CW55" s="186">
        <v>0</v>
      </c>
      <c r="CX55" s="143">
        <v>0</v>
      </c>
      <c r="CY55" s="180">
        <v>0</v>
      </c>
      <c r="CZ55" s="143">
        <v>0</v>
      </c>
      <c r="DA55" s="180">
        <v>0</v>
      </c>
      <c r="DB55" s="143">
        <v>0</v>
      </c>
      <c r="DC55" s="181">
        <v>0</v>
      </c>
      <c r="DD55" s="123">
        <v>0</v>
      </c>
      <c r="DE55" s="126"/>
      <c r="DF55" s="123">
        <v>0</v>
      </c>
      <c r="DG55" s="144">
        <v>0</v>
      </c>
      <c r="DH55" s="144">
        <v>0</v>
      </c>
      <c r="DI55" s="123">
        <v>0</v>
      </c>
      <c r="DJ55" s="143">
        <v>0</v>
      </c>
      <c r="DK55" s="123"/>
      <c r="DL55" s="123">
        <v>0</v>
      </c>
      <c r="DM55" s="123">
        <v>0</v>
      </c>
      <c r="DN55" s="123"/>
      <c r="DO55" s="123">
        <v>0</v>
      </c>
      <c r="DP55" s="143">
        <v>0</v>
      </c>
      <c r="DQ55" s="123"/>
      <c r="DR55" s="123">
        <v>0</v>
      </c>
      <c r="DS55" s="145"/>
      <c r="DT55" s="143">
        <v>0</v>
      </c>
      <c r="DU55" s="123">
        <v>0</v>
      </c>
      <c r="DV55" s="146">
        <v>0</v>
      </c>
      <c r="DW55" s="187">
        <v>0</v>
      </c>
      <c r="DX55" s="147">
        <v>0</v>
      </c>
      <c r="DY55" s="147">
        <v>0</v>
      </c>
      <c r="DZ55" s="157">
        <v>2</v>
      </c>
      <c r="EA55" s="126"/>
      <c r="EB55" s="126"/>
      <c r="EC55" s="123">
        <v>0</v>
      </c>
      <c r="ED55" s="123">
        <v>0</v>
      </c>
      <c r="EE55" s="123"/>
      <c r="EF55" s="123"/>
      <c r="EG55" s="123"/>
      <c r="EH55" s="123"/>
      <c r="EI55" s="123"/>
      <c r="EJ55" s="123"/>
      <c r="EK55" s="123"/>
      <c r="EL55" s="123"/>
      <c r="EM55" s="150"/>
      <c r="EN55" s="150"/>
      <c r="EO55" s="150"/>
      <c r="EP55" s="150"/>
      <c r="EQ55" s="216" t="s">
        <v>509</v>
      </c>
      <c r="ER55" s="123">
        <v>29.5555555555556</v>
      </c>
      <c r="ES55" s="123"/>
      <c r="ET55" s="123"/>
      <c r="EU55" s="123"/>
      <c r="EV55" s="123"/>
      <c r="EW55" s="123"/>
      <c r="EX55" s="123"/>
      <c r="EY55" s="123"/>
      <c r="EZ55" s="123"/>
      <c r="FA55" s="123"/>
      <c r="FB55" s="123"/>
      <c r="FC55" s="123"/>
      <c r="FD55" s="123"/>
      <c r="FE55" s="123"/>
      <c r="FF55" s="123"/>
      <c r="FG55" s="123"/>
      <c r="FH55" s="123"/>
      <c r="FI55" s="123"/>
      <c r="FJ55" s="123"/>
      <c r="FK55" s="123"/>
      <c r="FL55" s="123"/>
      <c r="FM55" s="123"/>
      <c r="FN55" s="123"/>
      <c r="FO55" s="123"/>
      <c r="FP55" s="123"/>
      <c r="FQ55" s="123"/>
      <c r="FR55" s="123"/>
      <c r="FS55" s="123"/>
      <c r="FT55" s="123"/>
      <c r="FU55" s="150"/>
      <c r="FV55" s="123"/>
      <c r="FW55" s="123"/>
      <c r="FX55" s="151"/>
      <c r="FY55" s="151"/>
      <c r="FZ55" s="151"/>
      <c r="GA55" s="151"/>
      <c r="GB55" s="123"/>
      <c r="GC55" s="123"/>
      <c r="GD55" s="123"/>
      <c r="GE55" s="123">
        <v>0.742</v>
      </c>
      <c r="GF55" s="123">
        <v>0.873</v>
      </c>
      <c r="GG55" s="126">
        <v>80.75</v>
      </c>
    </row>
    <row r="56" s="123" customFormat="1" ht="15" spans="1:219">
      <c r="A56" s="137" t="s">
        <v>510</v>
      </c>
      <c r="B56" s="185" t="s">
        <v>511</v>
      </c>
      <c r="C56" s="185" t="s">
        <v>511</v>
      </c>
      <c r="D56" s="138"/>
      <c r="E56" s="139" t="s">
        <v>293</v>
      </c>
      <c r="F56" s="138"/>
      <c r="G56" s="140"/>
      <c r="H56" s="141">
        <v>9178482</v>
      </c>
      <c r="I56" s="142">
        <v>22.6847631052124</v>
      </c>
      <c r="J56" s="139">
        <v>521642466921.745</v>
      </c>
      <c r="K56" s="126">
        <v>74.7858812976273</v>
      </c>
      <c r="L56" s="123">
        <v>1428</v>
      </c>
      <c r="M56" s="123">
        <v>1428</v>
      </c>
      <c r="N56" s="123"/>
      <c r="O56" s="123"/>
      <c r="P56" s="123"/>
      <c r="Q56" s="123"/>
      <c r="R56" s="123">
        <v>2416</v>
      </c>
      <c r="S56" s="123"/>
      <c r="T56" s="123"/>
      <c r="U56" s="123"/>
      <c r="V56" s="123"/>
      <c r="W56" s="123">
        <v>0</v>
      </c>
      <c r="X56" s="123"/>
      <c r="Y56" s="123"/>
      <c r="Z56" s="123"/>
      <c r="AA56" s="123"/>
      <c r="AB56" s="123">
        <v>0</v>
      </c>
      <c r="AC56" s="153"/>
      <c r="AD56" s="153"/>
      <c r="AE56" s="153"/>
      <c r="AF56" s="153"/>
      <c r="AG56" s="153"/>
      <c r="AH56" s="153"/>
      <c r="AI56" s="153">
        <v>51</v>
      </c>
      <c r="AJ56" s="126"/>
      <c r="AK56" s="126"/>
      <c r="AL56" s="126"/>
      <c r="AM56" s="126"/>
      <c r="AN56" s="123">
        <v>34566.0779</v>
      </c>
      <c r="AO56" s="123"/>
      <c r="AP56" s="123"/>
      <c r="AQ56" s="123"/>
      <c r="AR56" s="123">
        <v>57517.9776</v>
      </c>
      <c r="AS56" s="123"/>
      <c r="AT56" s="123"/>
      <c r="AU56" s="123"/>
      <c r="AV56" s="123"/>
      <c r="AW56" s="123"/>
      <c r="AX56" s="123"/>
      <c r="AY56" s="123"/>
      <c r="AZ56" s="123">
        <v>1.51</v>
      </c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3"/>
      <c r="BM56" s="123">
        <v>0</v>
      </c>
      <c r="BN56" s="123">
        <v>4</v>
      </c>
      <c r="BO56" s="123">
        <v>4</v>
      </c>
      <c r="BP56" s="123">
        <v>15</v>
      </c>
      <c r="BQ56" s="123">
        <v>0</v>
      </c>
      <c r="BR56" s="123">
        <f t="shared" si="1"/>
        <v>19</v>
      </c>
      <c r="BZ56" s="123">
        <v>93.63</v>
      </c>
      <c r="CA56" s="123">
        <v>71.26</v>
      </c>
      <c r="CB56" s="123">
        <v>89.62</v>
      </c>
      <c r="CC56" s="123">
        <v>90.09</v>
      </c>
      <c r="CD56" s="123">
        <v>97.17</v>
      </c>
      <c r="CE56" s="123">
        <v>83.49</v>
      </c>
      <c r="CF56" s="139">
        <v>87.5433333333333</v>
      </c>
      <c r="CG56" s="123">
        <v>0.93</v>
      </c>
      <c r="CH56" s="123">
        <v>93</v>
      </c>
      <c r="CI56" s="123">
        <v>90.2716666666666</v>
      </c>
      <c r="CJ56" s="123">
        <v>0.811254833200883</v>
      </c>
      <c r="CK56" s="123">
        <v>81.1254833200883</v>
      </c>
      <c r="CL56" s="123">
        <v>0.90653</v>
      </c>
      <c r="CM56" s="123">
        <v>90.653</v>
      </c>
      <c r="CN56" s="123">
        <v>0.7808</v>
      </c>
      <c r="CO56" s="123">
        <v>78.08</v>
      </c>
      <c r="CP56" s="123">
        <v>89.16</v>
      </c>
      <c r="CQ56" s="123"/>
      <c r="CR56" s="123">
        <v>84.7546208300221</v>
      </c>
      <c r="CS56" s="123">
        <v>83.0129131382507</v>
      </c>
      <c r="CT56" s="186"/>
      <c r="CU56" s="186"/>
      <c r="CV56" s="186"/>
      <c r="CW56" s="186">
        <v>1</v>
      </c>
      <c r="CX56" s="143">
        <v>100</v>
      </c>
      <c r="CY56" s="180">
        <v>1</v>
      </c>
      <c r="CZ56" s="143">
        <v>100</v>
      </c>
      <c r="DA56" s="180">
        <v>1</v>
      </c>
      <c r="DB56" s="143">
        <v>100</v>
      </c>
      <c r="DC56" s="181">
        <v>1</v>
      </c>
      <c r="DD56" s="123">
        <v>100</v>
      </c>
      <c r="DE56" s="126"/>
      <c r="DF56" s="123">
        <v>0</v>
      </c>
      <c r="DG56" s="144">
        <v>0</v>
      </c>
      <c r="DH56" s="144">
        <v>0</v>
      </c>
      <c r="DI56" s="123">
        <v>0</v>
      </c>
      <c r="DJ56" s="143">
        <v>0</v>
      </c>
      <c r="DK56" s="123"/>
      <c r="DL56" s="123">
        <v>0</v>
      </c>
      <c r="DM56" s="123">
        <v>0</v>
      </c>
      <c r="DN56" s="123"/>
      <c r="DO56" s="123">
        <v>1</v>
      </c>
      <c r="DP56" s="143">
        <v>100</v>
      </c>
      <c r="DQ56" s="123"/>
      <c r="DR56" s="123">
        <v>2</v>
      </c>
      <c r="DS56" s="145"/>
      <c r="DT56" s="143">
        <v>0</v>
      </c>
      <c r="DU56" s="123">
        <v>0</v>
      </c>
      <c r="DV56" s="146">
        <v>0</v>
      </c>
      <c r="DW56" s="187">
        <v>1</v>
      </c>
      <c r="DX56" s="147">
        <v>100</v>
      </c>
      <c r="DY56" s="147">
        <v>33.3333333333333</v>
      </c>
      <c r="DZ56" s="157">
        <v>3</v>
      </c>
      <c r="EA56" s="126"/>
      <c r="EB56" s="126"/>
      <c r="EC56" s="123">
        <v>2</v>
      </c>
      <c r="ED56" s="123">
        <v>100</v>
      </c>
      <c r="EE56" s="123"/>
      <c r="EF56" s="123"/>
      <c r="EG56" s="123"/>
      <c r="EH56" s="123"/>
      <c r="EI56" s="123"/>
      <c r="EJ56" s="123">
        <v>487</v>
      </c>
      <c r="EK56" s="123"/>
      <c r="EL56" s="123"/>
      <c r="EM56" s="150"/>
      <c r="EN56" s="150"/>
      <c r="EO56" s="150"/>
      <c r="EP56" s="150"/>
      <c r="EQ56" s="216" t="s">
        <v>512</v>
      </c>
      <c r="ER56" s="123">
        <v>77.3111111111111</v>
      </c>
      <c r="ES56" s="123"/>
      <c r="ET56" s="123"/>
      <c r="EU56" s="123"/>
      <c r="EV56" s="123"/>
      <c r="EW56" s="123"/>
      <c r="EX56" s="123"/>
      <c r="EY56" s="123"/>
      <c r="EZ56" s="123"/>
      <c r="FA56" s="123"/>
      <c r="FB56" s="123"/>
      <c r="FC56" s="123"/>
      <c r="FD56" s="123"/>
      <c r="FE56" s="123"/>
      <c r="FF56" s="123"/>
      <c r="FG56" s="123"/>
      <c r="FH56" s="123"/>
      <c r="FI56" s="123"/>
      <c r="FJ56" s="123"/>
      <c r="FK56" s="123"/>
      <c r="FL56" s="123"/>
      <c r="FM56" s="123"/>
      <c r="FN56" s="123"/>
      <c r="FO56" s="123"/>
      <c r="FP56" s="123"/>
      <c r="FQ56" s="123"/>
      <c r="FR56" s="123"/>
      <c r="FS56" s="123"/>
      <c r="FT56" s="123"/>
      <c r="FU56" s="150"/>
      <c r="FV56" s="123"/>
      <c r="FW56" s="123"/>
      <c r="FX56" s="151"/>
      <c r="FY56" s="151"/>
      <c r="FZ56" s="151"/>
      <c r="GA56" s="151">
        <v>4.015251</v>
      </c>
      <c r="GB56" s="123">
        <v>0.249050432961725</v>
      </c>
      <c r="GC56" s="123"/>
      <c r="GD56" s="123">
        <v>24.9050432961725</v>
      </c>
      <c r="GE56" s="123">
        <v>1</v>
      </c>
      <c r="GF56" s="123">
        <v>1</v>
      </c>
      <c r="GG56" s="126">
        <v>100</v>
      </c>
      <c r="GH56" s="123">
        <v>5.44</v>
      </c>
      <c r="GK56" s="123">
        <v>87.01</v>
      </c>
      <c r="GL56" s="123">
        <v>87.01</v>
      </c>
      <c r="GM56" s="123">
        <v>98.13</v>
      </c>
      <c r="GN56" s="123">
        <v>98.13</v>
      </c>
      <c r="GQ56" s="123">
        <v>1</v>
      </c>
      <c r="GS56" s="123">
        <v>6</v>
      </c>
      <c r="GV56" s="123">
        <v>5406</v>
      </c>
      <c r="HA56" s="123">
        <v>214</v>
      </c>
      <c r="HF56" s="123">
        <v>49</v>
      </c>
      <c r="HK56" s="123">
        <v>88</v>
      </c>
    </row>
    <row r="57" s="123" customFormat="1" ht="15" spans="1:219">
      <c r="A57" s="137" t="s">
        <v>513</v>
      </c>
      <c r="B57" s="185" t="s">
        <v>514</v>
      </c>
      <c r="C57" s="185" t="s">
        <v>515</v>
      </c>
      <c r="D57" s="138"/>
      <c r="E57" s="139" t="s">
        <v>293</v>
      </c>
      <c r="F57" s="138"/>
      <c r="G57" s="140"/>
      <c r="H57" s="141">
        <v>5129910</v>
      </c>
      <c r="I57" s="142">
        <v>12.6786535182027</v>
      </c>
      <c r="J57" s="139">
        <v>95350423176.664</v>
      </c>
      <c r="K57" s="126">
        <v>13.6700247421349</v>
      </c>
      <c r="L57" s="123">
        <v>5</v>
      </c>
      <c r="M57" s="123">
        <v>5</v>
      </c>
      <c r="N57" s="123"/>
      <c r="O57" s="123"/>
      <c r="P57" s="123"/>
      <c r="Q57" s="123"/>
      <c r="R57" s="123">
        <v>7</v>
      </c>
      <c r="S57" s="123"/>
      <c r="T57" s="123"/>
      <c r="U57" s="123"/>
      <c r="V57" s="123"/>
      <c r="W57" s="123">
        <v>0</v>
      </c>
      <c r="X57" s="123"/>
      <c r="Y57" s="123"/>
      <c r="Z57" s="123"/>
      <c r="AA57" s="123"/>
      <c r="AB57" s="123">
        <v>0</v>
      </c>
      <c r="AC57" s="153"/>
      <c r="AD57" s="153"/>
      <c r="AE57" s="153"/>
      <c r="AF57" s="153"/>
      <c r="AG57" s="153"/>
      <c r="AH57" s="153"/>
      <c r="AI57" s="153">
        <v>12</v>
      </c>
      <c r="AJ57" s="126"/>
      <c r="AK57" s="126"/>
      <c r="AL57" s="126"/>
      <c r="AM57" s="126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/>
      <c r="BJ57" s="123"/>
      <c r="BK57" s="123"/>
      <c r="BL57" s="123"/>
      <c r="BM57" s="123">
        <v>0</v>
      </c>
      <c r="BN57" s="150">
        <v>0</v>
      </c>
      <c r="BO57" s="123">
        <v>2</v>
      </c>
      <c r="BP57" s="123">
        <v>5</v>
      </c>
      <c r="BQ57" s="123">
        <v>0</v>
      </c>
      <c r="BR57" s="123">
        <f t="shared" si="1"/>
        <v>5</v>
      </c>
      <c r="BZ57" s="123">
        <v>81.37</v>
      </c>
      <c r="CA57" s="123">
        <v>83.89</v>
      </c>
      <c r="CB57" s="123">
        <v>60.85</v>
      </c>
      <c r="CC57" s="123">
        <v>69.81</v>
      </c>
      <c r="CD57" s="123">
        <v>60.38</v>
      </c>
      <c r="CE57" s="123">
        <v>72.64</v>
      </c>
      <c r="CF57" s="139">
        <v>71.49</v>
      </c>
      <c r="CG57" s="123">
        <v>0.833</v>
      </c>
      <c r="CH57" s="123">
        <v>83.3</v>
      </c>
      <c r="CI57" s="123">
        <v>77.395</v>
      </c>
      <c r="CJ57" s="123">
        <v>0.511716826614867</v>
      </c>
      <c r="CK57" s="123">
        <v>51.1716826614867</v>
      </c>
      <c r="CL57" s="123">
        <v>0.80089</v>
      </c>
      <c r="CM57" s="123">
        <v>80.089</v>
      </c>
      <c r="CN57" s="123">
        <v>0.726</v>
      </c>
      <c r="CO57" s="123">
        <v>72.6</v>
      </c>
      <c r="CP57" s="123">
        <v>75.07</v>
      </c>
      <c r="CQ57" s="192">
        <v>37.49</v>
      </c>
      <c r="CR57" s="123">
        <v>69.7326706653717</v>
      </c>
      <c r="CS57" s="123">
        <v>73.4436799825991</v>
      </c>
      <c r="CT57" s="186"/>
      <c r="CU57" s="186"/>
      <c r="CV57" s="186"/>
      <c r="CW57" s="186">
        <v>1</v>
      </c>
      <c r="CX57" s="143">
        <v>100</v>
      </c>
      <c r="CY57" s="180">
        <v>1</v>
      </c>
      <c r="CZ57" s="143">
        <v>100</v>
      </c>
      <c r="DA57" s="180">
        <v>1</v>
      </c>
      <c r="DB57" s="143">
        <v>100</v>
      </c>
      <c r="DC57" s="181">
        <v>1</v>
      </c>
      <c r="DD57" s="123">
        <v>100</v>
      </c>
      <c r="DE57" s="126"/>
      <c r="DF57" s="123">
        <v>0</v>
      </c>
      <c r="DG57" s="144">
        <v>0</v>
      </c>
      <c r="DH57" s="144">
        <v>0</v>
      </c>
      <c r="DI57" s="123">
        <v>0</v>
      </c>
      <c r="DJ57" s="143">
        <v>0</v>
      </c>
      <c r="DK57" s="150"/>
      <c r="DL57" s="150">
        <v>0</v>
      </c>
      <c r="DM57" s="123">
        <v>0</v>
      </c>
      <c r="DN57" s="123"/>
      <c r="DO57" s="123">
        <v>0</v>
      </c>
      <c r="DP57" s="143">
        <v>0</v>
      </c>
      <c r="DQ57" s="123"/>
      <c r="DR57" s="123">
        <v>0</v>
      </c>
      <c r="DS57" s="145"/>
      <c r="DT57" s="143">
        <v>0</v>
      </c>
      <c r="DU57" s="123">
        <v>0</v>
      </c>
      <c r="DV57" s="146">
        <v>0</v>
      </c>
      <c r="DW57" s="187">
        <v>0</v>
      </c>
      <c r="DX57" s="147">
        <v>0</v>
      </c>
      <c r="DY57" s="147">
        <v>0</v>
      </c>
      <c r="DZ57" s="157">
        <v>2</v>
      </c>
      <c r="EA57" s="126"/>
      <c r="EB57" s="126"/>
      <c r="EC57" s="123">
        <v>0</v>
      </c>
      <c r="ED57" s="123">
        <v>0</v>
      </c>
      <c r="EE57" s="123"/>
      <c r="EF57" s="123"/>
      <c r="EG57" s="123"/>
      <c r="EH57" s="123"/>
      <c r="EI57" s="123"/>
      <c r="EJ57" s="123">
        <v>385</v>
      </c>
      <c r="EK57" s="123"/>
      <c r="EL57" s="123"/>
      <c r="EM57" s="150"/>
      <c r="EN57" s="150"/>
      <c r="EO57" s="150"/>
      <c r="EP57" s="150"/>
      <c r="EQ57" s="216" t="s">
        <v>516</v>
      </c>
      <c r="ER57" s="123">
        <v>62.5333333333333</v>
      </c>
      <c r="ES57" s="123"/>
      <c r="ET57" s="123"/>
      <c r="EU57" s="123"/>
      <c r="EV57" s="123"/>
      <c r="EW57" s="123"/>
      <c r="EX57" s="123"/>
      <c r="EY57" s="123"/>
      <c r="EZ57" s="123"/>
      <c r="FA57" s="123"/>
      <c r="FB57" s="123"/>
      <c r="FC57" s="123"/>
      <c r="FD57" s="123"/>
      <c r="FE57" s="123"/>
      <c r="FF57" s="123"/>
      <c r="FG57" s="123"/>
      <c r="FH57" s="123"/>
      <c r="FI57" s="123"/>
      <c r="FJ57" s="123"/>
      <c r="FK57" s="123"/>
      <c r="FL57" s="123"/>
      <c r="FM57" s="123"/>
      <c r="FN57" s="123"/>
      <c r="FO57" s="123"/>
      <c r="FP57" s="123"/>
      <c r="FQ57" s="123"/>
      <c r="FR57" s="123"/>
      <c r="FS57" s="123"/>
      <c r="FT57" s="123"/>
      <c r="FU57" s="150"/>
      <c r="FV57" s="123"/>
      <c r="FW57" s="123"/>
      <c r="FX57" s="151"/>
      <c r="FY57" s="151"/>
      <c r="FZ57" s="151"/>
      <c r="GA57" s="151">
        <v>6</v>
      </c>
      <c r="GB57" s="123">
        <v>0.166666666666667</v>
      </c>
      <c r="GC57" s="123"/>
      <c r="GD57" s="123">
        <v>16.6666666666667</v>
      </c>
      <c r="GE57" s="123">
        <v>1</v>
      </c>
      <c r="GF57" s="123">
        <v>1</v>
      </c>
      <c r="GG57" s="126">
        <v>100</v>
      </c>
      <c r="GK57" s="123">
        <v>83.6</v>
      </c>
      <c r="GL57" s="123">
        <v>83.6</v>
      </c>
      <c r="GM57" s="123">
        <v>98.7</v>
      </c>
      <c r="GN57" s="123">
        <v>98.7</v>
      </c>
      <c r="HF57" s="123">
        <v>1</v>
      </c>
      <c r="HK57" s="123">
        <v>2</v>
      </c>
    </row>
    <row r="58" s="123" customFormat="1" ht="15" spans="1:219">
      <c r="A58" s="137" t="s">
        <v>517</v>
      </c>
      <c r="B58" s="185" t="s">
        <v>518</v>
      </c>
      <c r="C58" s="185" t="s">
        <v>519</v>
      </c>
      <c r="D58" s="138"/>
      <c r="E58" s="139" t="s">
        <v>293</v>
      </c>
      <c r="F58" s="138"/>
      <c r="G58" s="140"/>
      <c r="H58" s="141">
        <v>10882164</v>
      </c>
      <c r="I58" s="142">
        <v>26.8954400533847</v>
      </c>
      <c r="J58" s="139">
        <v>345036675975.047</v>
      </c>
      <c r="K58" s="126">
        <v>49.4665858879713</v>
      </c>
      <c r="L58" s="123">
        <v>424</v>
      </c>
      <c r="M58" s="123">
        <v>424</v>
      </c>
      <c r="N58" s="123"/>
      <c r="O58" s="123"/>
      <c r="P58" s="123"/>
      <c r="Q58" s="123"/>
      <c r="R58" s="123">
        <v>851</v>
      </c>
      <c r="S58" s="123"/>
      <c r="T58" s="123"/>
      <c r="U58" s="123"/>
      <c r="V58" s="123"/>
      <c r="W58" s="123">
        <v>0</v>
      </c>
      <c r="X58" s="123"/>
      <c r="Y58" s="123"/>
      <c r="Z58" s="123"/>
      <c r="AA58" s="123"/>
      <c r="AB58" s="123">
        <v>0</v>
      </c>
      <c r="AC58" s="153"/>
      <c r="AD58" s="153"/>
      <c r="AE58" s="153"/>
      <c r="AF58" s="153"/>
      <c r="AG58" s="153"/>
      <c r="AH58" s="153"/>
      <c r="AI58" s="153">
        <v>56</v>
      </c>
      <c r="AJ58" s="126"/>
      <c r="AK58" s="126"/>
      <c r="AL58" s="126"/>
      <c r="AM58" s="126"/>
      <c r="AN58" s="123">
        <v>17991.18</v>
      </c>
      <c r="AO58" s="123"/>
      <c r="AP58" s="123"/>
      <c r="AQ58" s="123"/>
      <c r="AR58" s="123">
        <v>21784.99</v>
      </c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/>
      <c r="BJ58" s="123"/>
      <c r="BK58" s="123"/>
      <c r="BL58" s="123"/>
      <c r="BM58" s="123">
        <v>0</v>
      </c>
      <c r="BN58" s="123">
        <v>1</v>
      </c>
      <c r="BO58" s="123">
        <v>4</v>
      </c>
      <c r="BP58" s="123">
        <v>10</v>
      </c>
      <c r="BQ58" s="123">
        <v>0</v>
      </c>
      <c r="BR58" s="123">
        <f t="shared" si="1"/>
        <v>11</v>
      </c>
      <c r="BZ58" s="123">
        <v>82.35</v>
      </c>
      <c r="CA58" s="123">
        <v>82.46</v>
      </c>
      <c r="CB58" s="123">
        <v>82.55</v>
      </c>
      <c r="CC58" s="123">
        <v>87.74</v>
      </c>
      <c r="CD58" s="123">
        <v>84.43</v>
      </c>
      <c r="CE58" s="123">
        <v>76.89</v>
      </c>
      <c r="CF58" s="139">
        <v>82.7366666666667</v>
      </c>
      <c r="CG58" s="123">
        <v>0.915</v>
      </c>
      <c r="CH58" s="123">
        <v>91.5</v>
      </c>
      <c r="CI58" s="123">
        <v>87.1183333333333</v>
      </c>
      <c r="CJ58" s="123">
        <v>0.789529653858038</v>
      </c>
      <c r="CK58" s="123">
        <v>78.9529653858038</v>
      </c>
      <c r="CL58" s="123">
        <v>0.82394</v>
      </c>
      <c r="CM58" s="123">
        <v>82.394</v>
      </c>
      <c r="CN58" s="123">
        <v>0.589</v>
      </c>
      <c r="CO58" s="123">
        <v>58.9</v>
      </c>
      <c r="CP58" s="123">
        <v>87.94</v>
      </c>
      <c r="CQ58" s="123"/>
      <c r="CR58" s="123">
        <v>77.0467413464509</v>
      </c>
      <c r="CS58" s="123">
        <v>81.935609679781</v>
      </c>
      <c r="CT58" s="186"/>
      <c r="CU58" s="186"/>
      <c r="CV58" s="186"/>
      <c r="CW58" s="186">
        <v>1</v>
      </c>
      <c r="CX58" s="143">
        <v>100</v>
      </c>
      <c r="CY58" s="180">
        <v>1</v>
      </c>
      <c r="CZ58" s="143">
        <v>100</v>
      </c>
      <c r="DA58" s="180">
        <v>1</v>
      </c>
      <c r="DB58" s="143">
        <v>100</v>
      </c>
      <c r="DC58" s="181">
        <v>1</v>
      </c>
      <c r="DD58" s="123">
        <v>100</v>
      </c>
      <c r="DE58" s="126"/>
      <c r="DF58" s="123">
        <v>0</v>
      </c>
      <c r="DG58" s="144">
        <v>0</v>
      </c>
      <c r="DH58" s="144">
        <v>0</v>
      </c>
      <c r="DI58" s="123">
        <v>0</v>
      </c>
      <c r="DJ58" s="143">
        <v>0</v>
      </c>
      <c r="DK58" s="123"/>
      <c r="DL58" s="123">
        <v>0</v>
      </c>
      <c r="DM58" s="123">
        <v>0</v>
      </c>
      <c r="DN58" s="123"/>
      <c r="DO58" s="123">
        <v>0</v>
      </c>
      <c r="DP58" s="143">
        <v>0</v>
      </c>
      <c r="DQ58" s="123"/>
      <c r="DR58" s="123">
        <v>2</v>
      </c>
      <c r="DS58" s="145"/>
      <c r="DT58" s="143">
        <v>0</v>
      </c>
      <c r="DU58" s="123">
        <v>0</v>
      </c>
      <c r="DV58" s="146">
        <v>0</v>
      </c>
      <c r="DW58" s="187">
        <v>1</v>
      </c>
      <c r="DX58" s="147">
        <v>100</v>
      </c>
      <c r="DY58" s="147">
        <v>33.3333333333333</v>
      </c>
      <c r="DZ58" s="157">
        <v>4</v>
      </c>
      <c r="EA58" s="126"/>
      <c r="EB58" s="126"/>
      <c r="EC58" s="123">
        <v>1</v>
      </c>
      <c r="ED58" s="123">
        <v>50</v>
      </c>
      <c r="EE58" s="123"/>
      <c r="EF58" s="123"/>
      <c r="EG58" s="123"/>
      <c r="EH58" s="123"/>
      <c r="EI58" s="123"/>
      <c r="EJ58" s="123">
        <v>487</v>
      </c>
      <c r="EK58" s="123"/>
      <c r="EL58" s="123"/>
      <c r="EM58" s="123"/>
      <c r="EN58" s="123"/>
      <c r="EO58" s="123"/>
      <c r="EP58" s="123"/>
      <c r="EQ58" s="123">
        <v>0.74</v>
      </c>
      <c r="ER58" s="123">
        <v>74</v>
      </c>
      <c r="ES58" s="123"/>
      <c r="ET58" s="123"/>
      <c r="EU58" s="123"/>
      <c r="EV58" s="123"/>
      <c r="EW58" s="123"/>
      <c r="EX58" s="123"/>
      <c r="EY58" s="123"/>
      <c r="EZ58" s="123"/>
      <c r="FA58" s="123"/>
      <c r="FB58" s="123"/>
      <c r="FC58" s="123"/>
      <c r="FD58" s="123"/>
      <c r="FE58" s="123"/>
      <c r="FF58" s="123"/>
      <c r="FG58" s="123"/>
      <c r="FH58" s="123"/>
      <c r="FI58" s="123"/>
      <c r="FJ58" s="123"/>
      <c r="FK58" s="123"/>
      <c r="FL58" s="123"/>
      <c r="FM58" s="123"/>
      <c r="FN58" s="123"/>
      <c r="FO58" s="123"/>
      <c r="FP58" s="123"/>
      <c r="FQ58" s="123"/>
      <c r="FR58" s="123"/>
      <c r="FS58" s="123"/>
      <c r="FT58" s="123"/>
      <c r="FU58" s="150"/>
      <c r="FV58" s="123"/>
      <c r="FW58" s="123"/>
      <c r="FX58" s="151"/>
      <c r="FY58" s="151"/>
      <c r="FZ58" s="151"/>
      <c r="GA58" s="151"/>
      <c r="GB58" s="123"/>
      <c r="GC58" s="123"/>
      <c r="GD58" s="123"/>
      <c r="GE58" s="123">
        <v>1</v>
      </c>
      <c r="GF58" s="123">
        <v>1</v>
      </c>
      <c r="GG58" s="126">
        <v>100</v>
      </c>
      <c r="GH58" s="123">
        <v>9.76</v>
      </c>
      <c r="GK58" s="123">
        <v>82.24</v>
      </c>
      <c r="GL58" s="123">
        <v>82.24</v>
      </c>
      <c r="GM58" s="123">
        <v>98.97</v>
      </c>
      <c r="GN58" s="123">
        <v>98.97</v>
      </c>
      <c r="GQ58" s="123">
        <v>1</v>
      </c>
      <c r="GS58" s="123">
        <v>3</v>
      </c>
      <c r="GV58" s="123">
        <v>5560</v>
      </c>
      <c r="HA58" s="123">
        <v>46</v>
      </c>
      <c r="HF58" s="123">
        <v>17</v>
      </c>
      <c r="HK58" s="123">
        <v>22</v>
      </c>
    </row>
    <row r="59" s="123" customFormat="1" ht="15" spans="1:219">
      <c r="A59" s="137" t="s">
        <v>520</v>
      </c>
      <c r="B59" s="185" t="s">
        <v>521</v>
      </c>
      <c r="C59" s="185" t="s">
        <v>521</v>
      </c>
      <c r="D59" s="138"/>
      <c r="E59" s="139" t="s">
        <v>293</v>
      </c>
      <c r="F59" s="138"/>
      <c r="G59" s="140"/>
      <c r="H59" s="141">
        <v>1371986</v>
      </c>
      <c r="I59" s="142">
        <v>3.39088504980104</v>
      </c>
      <c r="J59" s="139">
        <v>42764929169.3258</v>
      </c>
      <c r="K59" s="126">
        <v>6.13104399921953</v>
      </c>
      <c r="L59" s="123">
        <v>123</v>
      </c>
      <c r="M59" s="123">
        <v>123</v>
      </c>
      <c r="N59" s="123"/>
      <c r="O59" s="123"/>
      <c r="P59" s="123"/>
      <c r="Q59" s="123"/>
      <c r="R59" s="123">
        <v>164</v>
      </c>
      <c r="S59" s="123"/>
      <c r="T59" s="123"/>
      <c r="U59" s="123"/>
      <c r="V59" s="123"/>
      <c r="W59" s="123">
        <v>0</v>
      </c>
      <c r="X59" s="123"/>
      <c r="Y59" s="123"/>
      <c r="Z59" s="123"/>
      <c r="AA59" s="123"/>
      <c r="AB59" s="123">
        <v>0</v>
      </c>
      <c r="AC59" s="153"/>
      <c r="AD59" s="153"/>
      <c r="AE59" s="153"/>
      <c r="AF59" s="153"/>
      <c r="AG59" s="153"/>
      <c r="AH59" s="153"/>
      <c r="AI59" s="153">
        <v>12</v>
      </c>
      <c r="AJ59" s="126"/>
      <c r="AK59" s="126"/>
      <c r="AL59" s="126"/>
      <c r="AM59" s="126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>
        <v>0</v>
      </c>
      <c r="BN59" s="123">
        <v>3</v>
      </c>
      <c r="BO59" s="123">
        <v>1</v>
      </c>
      <c r="BP59" s="123">
        <v>1</v>
      </c>
      <c r="BQ59" s="123">
        <v>0</v>
      </c>
      <c r="BR59" s="123">
        <f t="shared" si="1"/>
        <v>4</v>
      </c>
      <c r="BZ59" s="123">
        <v>88.73</v>
      </c>
      <c r="CA59" s="123">
        <v>69.19</v>
      </c>
      <c r="CB59" s="123">
        <v>88.68</v>
      </c>
      <c r="CC59" s="123">
        <v>91.04</v>
      </c>
      <c r="CD59" s="123">
        <v>89.62</v>
      </c>
      <c r="CE59" s="123">
        <v>91.51</v>
      </c>
      <c r="CF59" s="139">
        <v>86.4616666666667</v>
      </c>
      <c r="CG59" s="123">
        <v>0.905</v>
      </c>
      <c r="CH59" s="123">
        <v>90.5</v>
      </c>
      <c r="CI59" s="123">
        <v>88.4808333333334</v>
      </c>
      <c r="CJ59" s="123">
        <v>0.955914107060088</v>
      </c>
      <c r="CK59" s="123">
        <v>95.5914107060088</v>
      </c>
      <c r="CL59" s="123">
        <v>0.97274</v>
      </c>
      <c r="CM59" s="123">
        <v>97.274</v>
      </c>
      <c r="CN59" s="123">
        <v>0.9589</v>
      </c>
      <c r="CO59" s="123">
        <v>95.89</v>
      </c>
      <c r="CP59" s="123">
        <v>95.04</v>
      </c>
      <c r="CQ59" s="123"/>
      <c r="CR59" s="123">
        <v>95.9488526765022</v>
      </c>
      <c r="CS59" s="123">
        <v>80.7606735251676</v>
      </c>
      <c r="CT59" s="186"/>
      <c r="CU59" s="186"/>
      <c r="CV59" s="186"/>
      <c r="CW59" s="186">
        <v>1</v>
      </c>
      <c r="CX59" s="143">
        <v>100</v>
      </c>
      <c r="CY59" s="180">
        <v>1</v>
      </c>
      <c r="CZ59" s="143">
        <v>100</v>
      </c>
      <c r="DA59" s="180">
        <v>1</v>
      </c>
      <c r="DB59" s="143">
        <v>100</v>
      </c>
      <c r="DC59" s="181">
        <v>1</v>
      </c>
      <c r="DD59" s="123">
        <v>100</v>
      </c>
      <c r="DE59" s="126"/>
      <c r="DF59" s="123">
        <v>0</v>
      </c>
      <c r="DG59" s="144">
        <v>0</v>
      </c>
      <c r="DH59" s="144">
        <v>0</v>
      </c>
      <c r="DI59" s="123">
        <v>0</v>
      </c>
      <c r="DJ59" s="143">
        <v>0</v>
      </c>
      <c r="DK59" s="123"/>
      <c r="DL59" s="123">
        <v>0</v>
      </c>
      <c r="DM59" s="123">
        <v>0</v>
      </c>
      <c r="DN59" s="123"/>
      <c r="DO59" s="123">
        <v>0</v>
      </c>
      <c r="DP59" s="143">
        <v>0</v>
      </c>
      <c r="DQ59" s="123"/>
      <c r="DR59" s="123">
        <v>2</v>
      </c>
      <c r="DS59" s="145"/>
      <c r="DT59" s="143">
        <v>0</v>
      </c>
      <c r="DU59" s="123">
        <v>0</v>
      </c>
      <c r="DV59" s="146">
        <v>0</v>
      </c>
      <c r="DW59" s="187">
        <v>1</v>
      </c>
      <c r="DX59" s="147">
        <v>100</v>
      </c>
      <c r="DY59" s="147">
        <v>33.3333333333333</v>
      </c>
      <c r="DZ59" s="157">
        <v>4</v>
      </c>
      <c r="EA59" s="126"/>
      <c r="EB59" s="126"/>
      <c r="EC59" s="123">
        <v>1</v>
      </c>
      <c r="ED59" s="123">
        <v>50</v>
      </c>
      <c r="EE59" s="123"/>
      <c r="EF59" s="123"/>
      <c r="EG59" s="123"/>
      <c r="EH59" s="123"/>
      <c r="EI59" s="123"/>
      <c r="EJ59" s="123">
        <v>510</v>
      </c>
      <c r="EK59" s="123"/>
      <c r="EL59" s="123"/>
      <c r="EM59" s="150"/>
      <c r="EN59" s="150"/>
      <c r="EO59" s="150"/>
      <c r="EP59" s="150"/>
      <c r="EQ59" s="216" t="s">
        <v>522</v>
      </c>
      <c r="ER59" s="123">
        <v>59.7111111111111</v>
      </c>
      <c r="ES59" s="123"/>
      <c r="ET59" s="123"/>
      <c r="EU59" s="123"/>
      <c r="EV59" s="123"/>
      <c r="EW59" s="123"/>
      <c r="EX59" s="123"/>
      <c r="EY59" s="123"/>
      <c r="EZ59" s="123"/>
      <c r="FA59" s="123"/>
      <c r="FB59" s="123"/>
      <c r="FC59" s="123"/>
      <c r="FD59" s="123"/>
      <c r="FE59" s="123"/>
      <c r="FF59" s="123"/>
      <c r="FG59" s="123"/>
      <c r="FH59" s="123"/>
      <c r="FI59" s="123"/>
      <c r="FJ59" s="123"/>
      <c r="FK59" s="123"/>
      <c r="FL59" s="123"/>
      <c r="FM59" s="123"/>
      <c r="FN59" s="123"/>
      <c r="FO59" s="123"/>
      <c r="FP59" s="123"/>
      <c r="FQ59" s="123"/>
      <c r="FR59" s="123"/>
      <c r="FS59" s="123"/>
      <c r="FT59" s="123"/>
      <c r="FU59" s="150"/>
      <c r="FV59" s="123"/>
      <c r="FW59" s="123"/>
      <c r="FX59" s="151"/>
      <c r="FY59" s="151"/>
      <c r="FZ59" s="151"/>
      <c r="GA59" s="151">
        <v>3.076923</v>
      </c>
      <c r="GB59" s="123">
        <v>0.325000008125</v>
      </c>
      <c r="GC59" s="123"/>
      <c r="GD59" s="123">
        <v>32.5000008125</v>
      </c>
      <c r="GE59" s="123">
        <v>1</v>
      </c>
      <c r="GF59" s="123">
        <v>1</v>
      </c>
      <c r="GG59" s="126">
        <v>100</v>
      </c>
      <c r="GH59" s="123">
        <v>12.06</v>
      </c>
      <c r="GK59" s="123">
        <v>79.87</v>
      </c>
      <c r="GL59" s="123">
        <v>79.87</v>
      </c>
      <c r="GM59" s="123">
        <v>97.76</v>
      </c>
      <c r="GN59" s="123">
        <v>97.76</v>
      </c>
      <c r="GV59" s="123">
        <v>57</v>
      </c>
      <c r="HA59" s="123">
        <v>30</v>
      </c>
      <c r="HF59" s="123">
        <v>10</v>
      </c>
      <c r="HK59" s="123">
        <v>10</v>
      </c>
    </row>
    <row r="60" s="123" customFormat="1" ht="15" spans="1:219">
      <c r="A60" s="137" t="s">
        <v>523</v>
      </c>
      <c r="B60" s="185" t="s">
        <v>524</v>
      </c>
      <c r="C60" s="185" t="s">
        <v>524</v>
      </c>
      <c r="D60" s="138"/>
      <c r="E60" s="139" t="s">
        <v>293</v>
      </c>
      <c r="F60" s="138"/>
      <c r="G60" s="140"/>
      <c r="H60" s="141">
        <v>10388805</v>
      </c>
      <c r="I60" s="142">
        <v>25.6760954993698</v>
      </c>
      <c r="J60" s="139">
        <v>257144811301.673</v>
      </c>
      <c r="K60" s="126">
        <v>36.865866093668</v>
      </c>
      <c r="L60" s="123">
        <v>1237</v>
      </c>
      <c r="M60" s="123">
        <v>1237</v>
      </c>
      <c r="N60" s="123"/>
      <c r="O60" s="123"/>
      <c r="P60" s="123"/>
      <c r="Q60" s="123"/>
      <c r="R60" s="123">
        <v>2396</v>
      </c>
      <c r="S60" s="123"/>
      <c r="T60" s="123"/>
      <c r="U60" s="123"/>
      <c r="V60" s="123"/>
      <c r="W60" s="123">
        <v>8</v>
      </c>
      <c r="X60" s="123"/>
      <c r="Y60" s="123"/>
      <c r="Z60" s="123"/>
      <c r="AA60" s="123"/>
      <c r="AB60" s="123">
        <v>0</v>
      </c>
      <c r="AC60" s="153"/>
      <c r="AD60" s="153"/>
      <c r="AE60" s="153"/>
      <c r="AF60" s="153"/>
      <c r="AG60" s="153"/>
      <c r="AH60" s="153"/>
      <c r="AI60" s="153">
        <v>22</v>
      </c>
      <c r="AJ60" s="126"/>
      <c r="AK60" s="126"/>
      <c r="AL60" s="126"/>
      <c r="AM60" s="126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>
        <v>1</v>
      </c>
      <c r="BN60" s="123">
        <v>3</v>
      </c>
      <c r="BO60" s="123">
        <v>31</v>
      </c>
      <c r="BP60" s="123">
        <v>93</v>
      </c>
      <c r="BQ60" s="123">
        <v>0</v>
      </c>
      <c r="BR60" s="123">
        <f t="shared" si="1"/>
        <v>97</v>
      </c>
      <c r="BZ60" s="123">
        <v>79.41</v>
      </c>
      <c r="CA60" s="123">
        <v>54.03</v>
      </c>
      <c r="CB60" s="123">
        <v>57.55</v>
      </c>
      <c r="CC60" s="123">
        <v>70.75</v>
      </c>
      <c r="CD60" s="123">
        <v>57.08</v>
      </c>
      <c r="CE60" s="123">
        <v>58.02</v>
      </c>
      <c r="CF60" s="139">
        <v>62.8066666666667</v>
      </c>
      <c r="CG60" s="123">
        <v>0.908</v>
      </c>
      <c r="CH60" s="123">
        <v>90.8</v>
      </c>
      <c r="CI60" s="123">
        <v>76.8033333333333</v>
      </c>
      <c r="CJ60" s="123">
        <v>0.85452948391304</v>
      </c>
      <c r="CK60" s="123">
        <v>85.452948391304</v>
      </c>
      <c r="CL60" s="123">
        <v>0.86737</v>
      </c>
      <c r="CM60" s="123">
        <v>86.737</v>
      </c>
      <c r="CN60" s="123">
        <v>0.6712</v>
      </c>
      <c r="CO60" s="123">
        <v>67.12</v>
      </c>
      <c r="CP60" s="123">
        <v>97.11</v>
      </c>
      <c r="CQ60" s="123"/>
      <c r="CR60" s="123">
        <v>84.104987097826</v>
      </c>
      <c r="CS60" s="123">
        <v>79.1216568542569</v>
      </c>
      <c r="CT60" s="186"/>
      <c r="CU60" s="186"/>
      <c r="CV60" s="186"/>
      <c r="CW60" s="186">
        <v>1</v>
      </c>
      <c r="CX60" s="143">
        <v>100</v>
      </c>
      <c r="CY60" s="180">
        <v>1</v>
      </c>
      <c r="CZ60" s="143">
        <v>100</v>
      </c>
      <c r="DA60" s="180">
        <v>1</v>
      </c>
      <c r="DB60" s="143">
        <v>100</v>
      </c>
      <c r="DC60" s="181">
        <v>1</v>
      </c>
      <c r="DD60" s="123">
        <v>100</v>
      </c>
      <c r="DE60" s="126"/>
      <c r="DF60" s="123">
        <v>0</v>
      </c>
      <c r="DG60" s="144">
        <v>0</v>
      </c>
      <c r="DH60" s="144">
        <v>0</v>
      </c>
      <c r="DI60" s="123">
        <v>0</v>
      </c>
      <c r="DJ60" s="143">
        <v>0</v>
      </c>
      <c r="DK60" s="123"/>
      <c r="DL60" s="123">
        <v>0</v>
      </c>
      <c r="DM60" s="123">
        <v>0</v>
      </c>
      <c r="DN60" s="123"/>
      <c r="DO60" s="123">
        <v>0</v>
      </c>
      <c r="DP60" s="143">
        <v>0</v>
      </c>
      <c r="DQ60" s="123"/>
      <c r="DR60" s="123">
        <v>2</v>
      </c>
      <c r="DS60" s="145"/>
      <c r="DT60" s="143">
        <v>0</v>
      </c>
      <c r="DU60" s="123">
        <v>0</v>
      </c>
      <c r="DV60" s="146">
        <v>0</v>
      </c>
      <c r="DW60" s="187">
        <v>1</v>
      </c>
      <c r="DX60" s="147">
        <v>100</v>
      </c>
      <c r="DY60" s="147">
        <v>33.3333333333333</v>
      </c>
      <c r="DZ60" s="157">
        <v>4</v>
      </c>
      <c r="EA60" s="126"/>
      <c r="EB60" s="126"/>
      <c r="EC60" s="123">
        <v>1</v>
      </c>
      <c r="ED60" s="123">
        <v>50</v>
      </c>
      <c r="EE60" s="123"/>
      <c r="EF60" s="123"/>
      <c r="EG60" s="123"/>
      <c r="EH60" s="123"/>
      <c r="EI60" s="123"/>
      <c r="EJ60" s="123">
        <v>430</v>
      </c>
      <c r="EK60" s="123"/>
      <c r="EL60" s="123"/>
      <c r="EM60" s="150"/>
      <c r="EN60" s="150"/>
      <c r="EO60" s="150"/>
      <c r="EP60" s="150"/>
      <c r="EQ60" s="216" t="s">
        <v>525</v>
      </c>
      <c r="ER60" s="123">
        <v>84.4666666666667</v>
      </c>
      <c r="ES60" s="123"/>
      <c r="ET60" s="123"/>
      <c r="EU60" s="123"/>
      <c r="EV60" s="123"/>
      <c r="EW60" s="123"/>
      <c r="EX60" s="123"/>
      <c r="EY60" s="123"/>
      <c r="EZ60" s="123"/>
      <c r="FA60" s="123"/>
      <c r="FB60" s="123"/>
      <c r="FC60" s="123"/>
      <c r="FD60" s="123"/>
      <c r="FE60" s="123"/>
      <c r="FF60" s="123"/>
      <c r="FG60" s="123"/>
      <c r="FH60" s="123"/>
      <c r="FI60" s="123"/>
      <c r="FJ60" s="123"/>
      <c r="FK60" s="123"/>
      <c r="FL60" s="123"/>
      <c r="FM60" s="123"/>
      <c r="FN60" s="123"/>
      <c r="FO60" s="123"/>
      <c r="FP60" s="123"/>
      <c r="FQ60" s="123"/>
      <c r="FR60" s="123"/>
      <c r="FS60" s="123"/>
      <c r="FT60" s="123"/>
      <c r="FU60" s="150"/>
      <c r="FV60" s="123"/>
      <c r="FW60" s="123"/>
      <c r="FX60" s="151"/>
      <c r="FY60" s="151"/>
      <c r="FZ60" s="151"/>
      <c r="GA60" s="151">
        <v>6.993103</v>
      </c>
      <c r="GB60" s="123">
        <v>0.142998036779953</v>
      </c>
      <c r="GC60" s="123"/>
      <c r="GD60" s="123">
        <v>14.2998036779953</v>
      </c>
      <c r="GE60" s="123">
        <v>1</v>
      </c>
      <c r="GF60" s="123">
        <v>1</v>
      </c>
      <c r="GG60" s="126">
        <v>100</v>
      </c>
      <c r="GH60" s="123">
        <v>6.34</v>
      </c>
      <c r="GK60" s="123">
        <v>69.22</v>
      </c>
      <c r="GL60" s="123">
        <v>69.22</v>
      </c>
      <c r="GM60" s="123">
        <v>95.08</v>
      </c>
      <c r="GN60" s="123">
        <v>95.08</v>
      </c>
      <c r="GS60" s="123">
        <v>1</v>
      </c>
      <c r="GV60" s="123">
        <v>7780</v>
      </c>
      <c r="HA60" s="123">
        <v>182</v>
      </c>
      <c r="HF60" s="123">
        <v>75</v>
      </c>
      <c r="HK60" s="123">
        <v>121</v>
      </c>
    </row>
    <row r="61" s="123" customFormat="1" ht="15" spans="1:219">
      <c r="A61" s="137" t="s">
        <v>526</v>
      </c>
      <c r="B61" s="185" t="s">
        <v>527</v>
      </c>
      <c r="C61" s="185" t="s">
        <v>527</v>
      </c>
      <c r="D61" s="138"/>
      <c r="E61" s="139" t="s">
        <v>293</v>
      </c>
      <c r="F61" s="138"/>
      <c r="G61" s="140"/>
      <c r="H61" s="141">
        <v>404610</v>
      </c>
      <c r="I61" s="142">
        <v>1</v>
      </c>
      <c r="J61" s="139">
        <v>33462807982.85</v>
      </c>
      <c r="K61" s="126">
        <v>4.79743453491899</v>
      </c>
      <c r="L61" s="123">
        <v>76</v>
      </c>
      <c r="M61" s="123">
        <v>76</v>
      </c>
      <c r="N61" s="123"/>
      <c r="O61" s="123"/>
      <c r="P61" s="123"/>
      <c r="Q61" s="123"/>
      <c r="R61" s="123">
        <v>107</v>
      </c>
      <c r="S61" s="123"/>
      <c r="T61" s="123"/>
      <c r="U61" s="123"/>
      <c r="V61" s="123"/>
      <c r="W61" s="123">
        <v>0</v>
      </c>
      <c r="X61" s="150"/>
      <c r="Y61" s="150"/>
      <c r="Z61" s="150"/>
      <c r="AA61" s="150"/>
      <c r="AB61" s="150">
        <v>0</v>
      </c>
      <c r="AC61" s="153"/>
      <c r="AD61" s="153"/>
      <c r="AE61" s="153"/>
      <c r="AF61" s="153"/>
      <c r="AG61" s="153"/>
      <c r="AH61" s="153"/>
      <c r="AI61" s="153">
        <v>13</v>
      </c>
      <c r="AJ61" s="167"/>
      <c r="AK61" s="167"/>
      <c r="AL61" s="167"/>
      <c r="AM61" s="167"/>
      <c r="AN61" s="167">
        <v>10530</v>
      </c>
      <c r="AO61" s="126"/>
      <c r="AP61" s="126"/>
      <c r="AQ61" s="126"/>
      <c r="AR61" s="123">
        <v>17015.38</v>
      </c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3"/>
      <c r="BK61" s="123"/>
      <c r="BL61" s="123"/>
      <c r="BM61" s="123">
        <v>0</v>
      </c>
      <c r="BN61" s="150">
        <v>0</v>
      </c>
      <c r="BO61" s="150">
        <v>0</v>
      </c>
      <c r="BP61" s="123">
        <v>0</v>
      </c>
      <c r="BQ61" s="123">
        <v>0</v>
      </c>
      <c r="BR61" s="123">
        <f t="shared" si="1"/>
        <v>0</v>
      </c>
      <c r="BZ61" s="123">
        <v>94.12</v>
      </c>
      <c r="CA61" s="123">
        <v>95.26</v>
      </c>
      <c r="CB61" s="123">
        <v>93.4</v>
      </c>
      <c r="CC61" s="123">
        <v>87.26</v>
      </c>
      <c r="CD61" s="123">
        <v>96.7</v>
      </c>
      <c r="CE61" s="123">
        <v>91.98</v>
      </c>
      <c r="CF61" s="139">
        <v>93.12</v>
      </c>
      <c r="CG61" s="123">
        <v>0.972</v>
      </c>
      <c r="CH61" s="123">
        <v>97.2</v>
      </c>
      <c r="CI61" s="123">
        <v>95.16</v>
      </c>
      <c r="CJ61" s="123">
        <v>0.867124159506882</v>
      </c>
      <c r="CK61" s="123">
        <v>86.7124159506882</v>
      </c>
      <c r="CL61" s="123">
        <v>0.96707</v>
      </c>
      <c r="CM61" s="123">
        <v>96.707</v>
      </c>
      <c r="CN61" s="123">
        <v>0.9589</v>
      </c>
      <c r="CO61" s="123">
        <v>95.89</v>
      </c>
      <c r="CP61" s="123">
        <v>99.1</v>
      </c>
      <c r="CQ61" s="123"/>
      <c r="CR61" s="123">
        <v>94.602353987672</v>
      </c>
      <c r="CS61" s="123">
        <v>80.7917948646125</v>
      </c>
      <c r="CT61" s="186"/>
      <c r="CU61" s="186"/>
      <c r="CV61" s="186"/>
      <c r="CW61" s="186">
        <v>1</v>
      </c>
      <c r="CX61" s="143">
        <v>100</v>
      </c>
      <c r="CY61" s="180">
        <v>1</v>
      </c>
      <c r="CZ61" s="143">
        <v>100</v>
      </c>
      <c r="DA61" s="180">
        <v>1</v>
      </c>
      <c r="DB61" s="143">
        <v>100</v>
      </c>
      <c r="DC61" s="181">
        <v>1</v>
      </c>
      <c r="DD61" s="123">
        <v>100</v>
      </c>
      <c r="DE61" s="126"/>
      <c r="DF61" s="123">
        <v>0</v>
      </c>
      <c r="DG61" s="144">
        <v>0</v>
      </c>
      <c r="DH61" s="144">
        <v>0</v>
      </c>
      <c r="DI61" s="123">
        <v>0</v>
      </c>
      <c r="DJ61" s="143">
        <v>0</v>
      </c>
      <c r="DK61" s="123"/>
      <c r="DL61" s="123">
        <v>0</v>
      </c>
      <c r="DM61" s="123">
        <v>0</v>
      </c>
      <c r="DN61" s="123"/>
      <c r="DO61" s="123">
        <v>0</v>
      </c>
      <c r="DP61" s="143">
        <v>0</v>
      </c>
      <c r="DQ61" s="123"/>
      <c r="DR61" s="123">
        <v>0</v>
      </c>
      <c r="DS61" s="145"/>
      <c r="DT61" s="143">
        <v>0</v>
      </c>
      <c r="DU61" s="123">
        <v>0</v>
      </c>
      <c r="DV61" s="146">
        <v>0</v>
      </c>
      <c r="DW61" s="187">
        <v>1</v>
      </c>
      <c r="DX61" s="147">
        <v>100</v>
      </c>
      <c r="DY61" s="147">
        <v>33.3333333333333</v>
      </c>
      <c r="DZ61" s="157">
        <v>3</v>
      </c>
      <c r="EA61" s="126"/>
      <c r="EB61" s="126"/>
      <c r="EC61" s="123">
        <v>0</v>
      </c>
      <c r="ED61" s="123">
        <v>0</v>
      </c>
      <c r="EE61" s="123"/>
      <c r="EF61" s="123"/>
      <c r="EG61" s="123"/>
      <c r="EH61" s="123"/>
      <c r="EI61" s="123"/>
      <c r="EJ61" s="123">
        <v>459</v>
      </c>
      <c r="EK61" s="123"/>
      <c r="EL61" s="123"/>
      <c r="EM61" s="150"/>
      <c r="EN61" s="150"/>
      <c r="EO61" s="150"/>
      <c r="EP61" s="150"/>
      <c r="EQ61" s="216" t="s">
        <v>528</v>
      </c>
      <c r="ER61" s="123">
        <v>61.5777777777778</v>
      </c>
      <c r="ES61" s="123"/>
      <c r="ET61" s="123"/>
      <c r="EU61" s="123"/>
      <c r="EV61" s="123"/>
      <c r="EW61" s="123"/>
      <c r="EX61" s="123"/>
      <c r="EY61" s="123"/>
      <c r="EZ61" s="123"/>
      <c r="FA61" s="123"/>
      <c r="FB61" s="123"/>
      <c r="FC61" s="123"/>
      <c r="FD61" s="123"/>
      <c r="FE61" s="123"/>
      <c r="FF61" s="123"/>
      <c r="FG61" s="123"/>
      <c r="FH61" s="123"/>
      <c r="FI61" s="123"/>
      <c r="FJ61" s="123"/>
      <c r="FK61" s="123"/>
      <c r="FL61" s="123"/>
      <c r="FM61" s="123"/>
      <c r="FN61" s="123"/>
      <c r="FO61" s="123"/>
      <c r="FP61" s="123"/>
      <c r="FQ61" s="123"/>
      <c r="FR61" s="123"/>
      <c r="FS61" s="123"/>
      <c r="FT61" s="123"/>
      <c r="FU61" s="150"/>
      <c r="FV61" s="123"/>
      <c r="FW61" s="123"/>
      <c r="FX61" s="151"/>
      <c r="FY61" s="151"/>
      <c r="FZ61" s="151"/>
      <c r="GA61" s="151">
        <v>4.277778</v>
      </c>
      <c r="GB61" s="123">
        <v>0.233766221622534</v>
      </c>
      <c r="GC61" s="123"/>
      <c r="GD61" s="123">
        <v>23.3766221622534</v>
      </c>
      <c r="GE61" s="123">
        <v>1</v>
      </c>
      <c r="GF61" s="123">
        <v>1</v>
      </c>
      <c r="GG61" s="126">
        <v>100</v>
      </c>
      <c r="GH61" s="123">
        <v>7.34</v>
      </c>
      <c r="GK61" s="123">
        <v>98.21</v>
      </c>
      <c r="GL61" s="123">
        <v>98.21</v>
      </c>
      <c r="GM61" s="123">
        <v>99.43</v>
      </c>
      <c r="GN61" s="123">
        <v>99.43</v>
      </c>
      <c r="GV61" s="123">
        <v>187</v>
      </c>
      <c r="HA61" s="123">
        <v>9</v>
      </c>
      <c r="HF61" s="123">
        <v>4</v>
      </c>
      <c r="HK61" s="123">
        <v>3</v>
      </c>
    </row>
    <row r="62" s="123" customFormat="1" ht="15" spans="1:219">
      <c r="A62" s="137" t="s">
        <v>529</v>
      </c>
      <c r="B62" s="185" t="s">
        <v>530</v>
      </c>
      <c r="C62" s="185" t="s">
        <v>530</v>
      </c>
      <c r="D62" s="138"/>
      <c r="E62" s="139" t="s">
        <v>293</v>
      </c>
      <c r="F62" s="138"/>
      <c r="G62" s="140"/>
      <c r="H62" s="141">
        <v>1862441</v>
      </c>
      <c r="I62" s="142">
        <v>4.60305232198908</v>
      </c>
      <c r="J62" s="139">
        <v>43520773851.1219</v>
      </c>
      <c r="K62" s="126">
        <v>6.23940655448811</v>
      </c>
      <c r="L62" s="123">
        <v>24</v>
      </c>
      <c r="M62" s="123">
        <v>24</v>
      </c>
      <c r="N62" s="123"/>
      <c r="O62" s="123"/>
      <c r="P62" s="123"/>
      <c r="Q62" s="123"/>
      <c r="R62" s="123">
        <v>43</v>
      </c>
      <c r="S62" s="123"/>
      <c r="T62" s="123"/>
      <c r="U62" s="123"/>
      <c r="V62" s="123"/>
      <c r="W62" s="123">
        <v>0</v>
      </c>
      <c r="X62" s="123"/>
      <c r="Y62" s="123"/>
      <c r="Z62" s="123"/>
      <c r="AA62" s="123"/>
      <c r="AB62" s="123">
        <v>0</v>
      </c>
      <c r="AC62" s="123"/>
      <c r="AD62" s="123"/>
      <c r="AE62" s="123"/>
      <c r="AF62" s="123"/>
      <c r="AG62" s="123"/>
      <c r="AH62" s="123"/>
      <c r="AI62" s="123">
        <v>0</v>
      </c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  <c r="BD62" s="123"/>
      <c r="BE62" s="123"/>
      <c r="BF62" s="123"/>
      <c r="BG62" s="123"/>
      <c r="BH62" s="123"/>
      <c r="BI62" s="123"/>
      <c r="BJ62" s="123"/>
      <c r="BK62" s="123"/>
      <c r="BL62" s="123"/>
      <c r="BM62" s="123">
        <v>0</v>
      </c>
      <c r="BN62" s="123">
        <v>2</v>
      </c>
      <c r="BO62" s="123">
        <v>1</v>
      </c>
      <c r="BP62" s="123">
        <v>3</v>
      </c>
      <c r="BQ62" s="123">
        <v>0</v>
      </c>
      <c r="BR62" s="123">
        <f t="shared" si="1"/>
        <v>5</v>
      </c>
      <c r="BZ62" s="123">
        <v>78.43</v>
      </c>
      <c r="CA62" s="123">
        <v>66.82</v>
      </c>
      <c r="CB62" s="123">
        <v>74.06</v>
      </c>
      <c r="CC62" s="123">
        <v>86.32</v>
      </c>
      <c r="CD62" s="123">
        <v>83.02</v>
      </c>
      <c r="CE62" s="123">
        <v>74.53</v>
      </c>
      <c r="CF62" s="139">
        <v>77.1966666666667</v>
      </c>
      <c r="CG62" s="123">
        <v>0.889</v>
      </c>
      <c r="CH62" s="123">
        <v>88.9</v>
      </c>
      <c r="CI62" s="123">
        <v>83.0483333333333</v>
      </c>
      <c r="CJ62" s="123">
        <v>0.85620326480539</v>
      </c>
      <c r="CK62" s="123">
        <v>85.620326480539</v>
      </c>
      <c r="CL62" s="123">
        <v>0.88522</v>
      </c>
      <c r="CM62" s="123">
        <v>88.522</v>
      </c>
      <c r="CN62" s="123">
        <v>0.7808</v>
      </c>
      <c r="CO62" s="123">
        <v>78.08</v>
      </c>
      <c r="CP62" s="123">
        <v>82.63</v>
      </c>
      <c r="CQ62" s="123"/>
      <c r="CR62" s="123">
        <v>83.7130816201347</v>
      </c>
      <c r="CS62" s="123">
        <v>81.1910254477549</v>
      </c>
      <c r="CT62" s="186"/>
      <c r="CU62" s="186"/>
      <c r="CV62" s="186"/>
      <c r="CW62" s="186">
        <v>1</v>
      </c>
      <c r="CX62" s="143">
        <v>100</v>
      </c>
      <c r="CY62" s="180">
        <v>1</v>
      </c>
      <c r="CZ62" s="143">
        <v>100</v>
      </c>
      <c r="DA62" s="180">
        <v>1</v>
      </c>
      <c r="DB62" s="143">
        <v>100</v>
      </c>
      <c r="DC62" s="181">
        <v>1</v>
      </c>
      <c r="DD62" s="123">
        <v>100</v>
      </c>
      <c r="DE62" s="126"/>
      <c r="DF62" s="123">
        <v>0</v>
      </c>
      <c r="DG62" s="144">
        <v>0</v>
      </c>
      <c r="DH62" s="144">
        <v>0</v>
      </c>
      <c r="DI62" s="123">
        <v>0</v>
      </c>
      <c r="DJ62" s="143">
        <v>0</v>
      </c>
      <c r="DK62" s="123"/>
      <c r="DL62" s="123">
        <v>0</v>
      </c>
      <c r="DM62" s="123">
        <v>0</v>
      </c>
      <c r="DN62" s="123"/>
      <c r="DO62" s="123">
        <v>0</v>
      </c>
      <c r="DP62" s="143">
        <v>0</v>
      </c>
      <c r="DQ62" s="123"/>
      <c r="DR62" s="123">
        <v>2</v>
      </c>
      <c r="DS62" s="145"/>
      <c r="DT62" s="143">
        <v>0</v>
      </c>
      <c r="DU62" s="123">
        <v>0</v>
      </c>
      <c r="DV62" s="146">
        <v>0</v>
      </c>
      <c r="DW62" s="187">
        <v>1</v>
      </c>
      <c r="DX62" s="147">
        <v>100</v>
      </c>
      <c r="DY62" s="147">
        <v>33.3333333333333</v>
      </c>
      <c r="DZ62" s="157">
        <v>4</v>
      </c>
      <c r="EA62" s="126"/>
      <c r="EB62" s="126"/>
      <c r="EC62" s="123">
        <v>0</v>
      </c>
      <c r="ED62" s="123">
        <v>0</v>
      </c>
      <c r="EE62" s="123"/>
      <c r="EF62" s="123"/>
      <c r="EG62" s="123"/>
      <c r="EH62" s="123"/>
      <c r="EI62" s="123"/>
      <c r="EJ62" s="123">
        <v>483</v>
      </c>
      <c r="EK62" s="123"/>
      <c r="EL62" s="123"/>
      <c r="EM62" s="150"/>
      <c r="EN62" s="150"/>
      <c r="EO62" s="150"/>
      <c r="EP62" s="150"/>
      <c r="EQ62" s="216" t="s">
        <v>531</v>
      </c>
      <c r="ER62" s="123">
        <v>68.4666666666667</v>
      </c>
      <c r="ES62" s="123"/>
      <c r="ET62" s="123"/>
      <c r="EU62" s="123"/>
      <c r="EV62" s="123"/>
      <c r="EW62" s="123"/>
      <c r="EX62" s="123"/>
      <c r="EY62" s="123"/>
      <c r="EZ62" s="123"/>
      <c r="FA62" s="123"/>
      <c r="FB62" s="123"/>
      <c r="FC62" s="123"/>
      <c r="FD62" s="123"/>
      <c r="FE62" s="123"/>
      <c r="FF62" s="123"/>
      <c r="FG62" s="123"/>
      <c r="FH62" s="123"/>
      <c r="FI62" s="123"/>
      <c r="FJ62" s="123"/>
      <c r="FK62" s="123"/>
      <c r="FL62" s="123"/>
      <c r="FM62" s="123"/>
      <c r="FN62" s="123"/>
      <c r="FO62" s="123"/>
      <c r="FP62" s="123"/>
      <c r="FQ62" s="123"/>
      <c r="FR62" s="123"/>
      <c r="FS62" s="123"/>
      <c r="FT62" s="123"/>
      <c r="FU62" s="150"/>
      <c r="FV62" s="123"/>
      <c r="FW62" s="123"/>
      <c r="FX62" s="151"/>
      <c r="FY62" s="151"/>
      <c r="FZ62" s="151"/>
      <c r="GA62" s="151">
        <v>1.733333</v>
      </c>
      <c r="GB62" s="123">
        <v>0.576923187869844</v>
      </c>
      <c r="GC62" s="123"/>
      <c r="GD62" s="123">
        <v>57.6923187869844</v>
      </c>
      <c r="GE62" s="123">
        <v>1</v>
      </c>
      <c r="GF62" s="123">
        <v>1</v>
      </c>
      <c r="GG62" s="126">
        <v>100</v>
      </c>
      <c r="GH62" s="123">
        <v>6.5</v>
      </c>
      <c r="GK62" s="123">
        <v>83.83</v>
      </c>
      <c r="GL62" s="123">
        <v>83.83</v>
      </c>
      <c r="GM62" s="123">
        <v>99.08</v>
      </c>
      <c r="GN62" s="123">
        <v>99.08</v>
      </c>
      <c r="GV62" s="123">
        <v>306</v>
      </c>
      <c r="HA62" s="123">
        <v>2</v>
      </c>
      <c r="HF62" s="123">
        <v>1</v>
      </c>
      <c r="HK62" s="123">
        <v>7</v>
      </c>
    </row>
    <row r="63" s="123" customFormat="1" ht="15" spans="1:219">
      <c r="A63" s="137" t="s">
        <v>532</v>
      </c>
      <c r="B63" s="185" t="s">
        <v>533</v>
      </c>
      <c r="C63" s="185" t="s">
        <v>533</v>
      </c>
      <c r="D63" s="138"/>
      <c r="E63" s="139" t="s">
        <v>293</v>
      </c>
      <c r="F63" s="138"/>
      <c r="G63" s="140"/>
      <c r="H63" s="141">
        <v>2888055</v>
      </c>
      <c r="I63" s="142">
        <v>7.13787350782235</v>
      </c>
      <c r="J63" s="139">
        <v>84869215513.3648</v>
      </c>
      <c r="K63" s="126">
        <v>12.1673741684789</v>
      </c>
      <c r="L63" s="123">
        <v>14</v>
      </c>
      <c r="M63" s="123">
        <v>14</v>
      </c>
      <c r="N63" s="123"/>
      <c r="O63" s="123"/>
      <c r="P63" s="123"/>
      <c r="Q63" s="123"/>
      <c r="R63" s="123">
        <v>20</v>
      </c>
      <c r="S63" s="123"/>
      <c r="T63" s="123"/>
      <c r="U63" s="123"/>
      <c r="V63" s="123"/>
      <c r="W63" s="123">
        <v>0</v>
      </c>
      <c r="X63" s="123"/>
      <c r="Y63" s="123"/>
      <c r="Z63" s="123"/>
      <c r="AA63" s="123"/>
      <c r="AB63" s="123">
        <v>0</v>
      </c>
      <c r="AC63" s="153"/>
      <c r="AD63" s="153"/>
      <c r="AE63" s="153"/>
      <c r="AF63" s="153"/>
      <c r="AG63" s="153"/>
      <c r="AH63" s="153"/>
      <c r="AI63" s="153">
        <v>19</v>
      </c>
      <c r="AJ63" s="126"/>
      <c r="AK63" s="126"/>
      <c r="AL63" s="126"/>
      <c r="AM63" s="126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  <c r="BC63" s="123"/>
      <c r="BD63" s="123"/>
      <c r="BE63" s="123"/>
      <c r="BF63" s="123"/>
      <c r="BG63" s="123"/>
      <c r="BH63" s="123"/>
      <c r="BI63" s="123"/>
      <c r="BJ63" s="123"/>
      <c r="BK63" s="123"/>
      <c r="BL63" s="123"/>
      <c r="BM63" s="123">
        <v>0</v>
      </c>
      <c r="BN63" s="123">
        <v>4</v>
      </c>
      <c r="BO63" s="123">
        <v>1</v>
      </c>
      <c r="BP63" s="123">
        <v>4</v>
      </c>
      <c r="BQ63" s="123">
        <v>0</v>
      </c>
      <c r="BR63" s="123">
        <f t="shared" si="1"/>
        <v>8</v>
      </c>
      <c r="BZ63" s="123">
        <v>81.86</v>
      </c>
      <c r="CA63" s="123">
        <v>72.51</v>
      </c>
      <c r="CB63" s="123">
        <v>81.6</v>
      </c>
      <c r="CC63" s="123">
        <v>88.21</v>
      </c>
      <c r="CD63" s="123">
        <v>86.79</v>
      </c>
      <c r="CE63" s="123">
        <v>77.83</v>
      </c>
      <c r="CF63" s="139">
        <v>81.4666666666667</v>
      </c>
      <c r="CG63" s="123">
        <v>0.895</v>
      </c>
      <c r="CH63" s="123">
        <v>89.5</v>
      </c>
      <c r="CI63" s="123">
        <v>85.4833333333333</v>
      </c>
      <c r="CJ63" s="123">
        <v>0.918371123230167</v>
      </c>
      <c r="CK63" s="123">
        <v>91.8371123230167</v>
      </c>
      <c r="CL63" s="123">
        <v>0.91104</v>
      </c>
      <c r="CM63" s="123">
        <v>91.104</v>
      </c>
      <c r="CN63" s="123">
        <v>0.8356</v>
      </c>
      <c r="CO63" s="123">
        <v>83.56</v>
      </c>
      <c r="CP63" s="123">
        <v>92.88</v>
      </c>
      <c r="CQ63" s="123"/>
      <c r="CR63" s="123">
        <v>89.8452780807542</v>
      </c>
      <c r="CS63" s="123">
        <v>78.8085981983703</v>
      </c>
      <c r="CT63" s="186"/>
      <c r="CU63" s="186"/>
      <c r="CV63" s="186"/>
      <c r="CW63" s="186">
        <v>1</v>
      </c>
      <c r="CX63" s="143">
        <v>100</v>
      </c>
      <c r="CY63" s="180">
        <v>1</v>
      </c>
      <c r="CZ63" s="143">
        <v>100</v>
      </c>
      <c r="DA63" s="180">
        <v>1</v>
      </c>
      <c r="DB63" s="143">
        <v>100</v>
      </c>
      <c r="DC63" s="181">
        <v>1</v>
      </c>
      <c r="DD63" s="123">
        <v>100</v>
      </c>
      <c r="DE63" s="126"/>
      <c r="DF63" s="123">
        <v>0</v>
      </c>
      <c r="DG63" s="144">
        <v>0</v>
      </c>
      <c r="DH63" s="144">
        <v>0</v>
      </c>
      <c r="DI63" s="123">
        <v>0</v>
      </c>
      <c r="DJ63" s="143">
        <v>0</v>
      </c>
      <c r="DK63" s="123"/>
      <c r="DL63" s="123">
        <v>0</v>
      </c>
      <c r="DM63" s="123">
        <v>0</v>
      </c>
      <c r="DN63" s="123"/>
      <c r="DO63" s="123">
        <v>0</v>
      </c>
      <c r="DP63" s="143">
        <v>0</v>
      </c>
      <c r="DQ63" s="123"/>
      <c r="DR63" s="123">
        <v>2</v>
      </c>
      <c r="DS63" s="145"/>
      <c r="DT63" s="143">
        <v>0</v>
      </c>
      <c r="DU63" s="123">
        <v>0</v>
      </c>
      <c r="DV63" s="146">
        <v>0</v>
      </c>
      <c r="DW63" s="190">
        <v>1</v>
      </c>
      <c r="DX63" s="147">
        <v>100</v>
      </c>
      <c r="DY63" s="147">
        <v>33.3333333333333</v>
      </c>
      <c r="DZ63" s="157">
        <v>4</v>
      </c>
      <c r="EA63" s="126"/>
      <c r="EB63" s="126"/>
      <c r="EC63" s="123">
        <v>1</v>
      </c>
      <c r="ED63" s="123">
        <v>50</v>
      </c>
      <c r="EE63" s="123"/>
      <c r="EF63" s="123"/>
      <c r="EG63" s="123"/>
      <c r="EH63" s="123"/>
      <c r="EI63" s="123"/>
      <c r="EJ63" s="123">
        <v>475</v>
      </c>
      <c r="EK63" s="123"/>
      <c r="EL63" s="123"/>
      <c r="EM63" s="150"/>
      <c r="EN63" s="150"/>
      <c r="EO63" s="150"/>
      <c r="EP63" s="150"/>
      <c r="EQ63" s="216" t="s">
        <v>534</v>
      </c>
      <c r="ER63" s="123">
        <v>65.3555555555556</v>
      </c>
      <c r="ES63" s="123"/>
      <c r="ET63" s="123"/>
      <c r="EU63" s="123"/>
      <c r="EV63" s="123"/>
      <c r="EW63" s="123"/>
      <c r="EX63" s="123"/>
      <c r="EY63" s="123"/>
      <c r="EZ63" s="123"/>
      <c r="FA63" s="123"/>
      <c r="FB63" s="123"/>
      <c r="FC63" s="123"/>
      <c r="FD63" s="123"/>
      <c r="FE63" s="123"/>
      <c r="FF63" s="123"/>
      <c r="FG63" s="123"/>
      <c r="FH63" s="123"/>
      <c r="FI63" s="123"/>
      <c r="FJ63" s="123"/>
      <c r="FK63" s="123"/>
      <c r="FL63" s="123"/>
      <c r="FM63" s="123"/>
      <c r="FN63" s="123"/>
      <c r="FO63" s="123"/>
      <c r="FP63" s="123"/>
      <c r="FQ63" s="123"/>
      <c r="FR63" s="123"/>
      <c r="FS63" s="123"/>
      <c r="FT63" s="123"/>
      <c r="FU63" s="150"/>
      <c r="FV63" s="123"/>
      <c r="FW63" s="123"/>
      <c r="FX63" s="151"/>
      <c r="FY63" s="151"/>
      <c r="FZ63" s="151"/>
      <c r="GA63" s="151">
        <v>1.5</v>
      </c>
      <c r="GB63" s="123">
        <v>0.666666666666667</v>
      </c>
      <c r="GC63" s="123"/>
      <c r="GD63" s="123">
        <v>66.6666666666667</v>
      </c>
      <c r="GE63" s="123">
        <v>1</v>
      </c>
      <c r="GF63" s="123">
        <v>1</v>
      </c>
      <c r="GG63" s="126">
        <v>100</v>
      </c>
      <c r="GH63" s="123">
        <v>11.51</v>
      </c>
      <c r="GK63" s="123">
        <v>74.24</v>
      </c>
      <c r="GL63" s="123">
        <v>74.24</v>
      </c>
      <c r="GM63" s="123">
        <v>98.25</v>
      </c>
      <c r="GN63" s="123">
        <v>98.25</v>
      </c>
      <c r="GV63" s="123">
        <v>10166</v>
      </c>
      <c r="HF63" s="123">
        <v>3</v>
      </c>
      <c r="HK63" s="123">
        <v>1</v>
      </c>
    </row>
    <row r="64" s="123" customFormat="1" ht="15" spans="1:219">
      <c r="A64" s="137" t="s">
        <v>535</v>
      </c>
      <c r="B64" s="185" t="s">
        <v>536</v>
      </c>
      <c r="C64" s="185" t="s">
        <v>536</v>
      </c>
      <c r="D64" s="138"/>
      <c r="E64" s="139" t="s">
        <v>293</v>
      </c>
      <c r="F64" s="138"/>
      <c r="G64" s="140"/>
      <c r="H64" s="141">
        <v>677717</v>
      </c>
      <c r="I64" s="142">
        <v>1.67498826030004</v>
      </c>
      <c r="J64" s="139">
        <v>93197329011.7078</v>
      </c>
      <c r="K64" s="126">
        <v>13.361343883398</v>
      </c>
      <c r="L64" s="123">
        <v>200</v>
      </c>
      <c r="M64" s="123">
        <v>200</v>
      </c>
      <c r="N64" s="123"/>
      <c r="O64" s="123"/>
      <c r="P64" s="123"/>
      <c r="Q64" s="123"/>
      <c r="R64" s="123">
        <v>317</v>
      </c>
      <c r="S64" s="123"/>
      <c r="T64" s="123"/>
      <c r="U64" s="123"/>
      <c r="V64" s="123"/>
      <c r="W64" s="123">
        <v>0</v>
      </c>
      <c r="X64" s="123"/>
      <c r="Y64" s="123"/>
      <c r="Z64" s="123"/>
      <c r="AA64" s="123"/>
      <c r="AB64" s="123">
        <v>0</v>
      </c>
      <c r="AC64" s="153"/>
      <c r="AD64" s="153"/>
      <c r="AE64" s="153"/>
      <c r="AF64" s="153"/>
      <c r="AG64" s="153"/>
      <c r="AH64" s="153"/>
      <c r="AI64" s="153">
        <v>16</v>
      </c>
      <c r="AJ64" s="126"/>
      <c r="AK64" s="126"/>
      <c r="AL64" s="126"/>
      <c r="AM64" s="126"/>
      <c r="AN64" s="123">
        <v>10520</v>
      </c>
      <c r="AO64" s="167"/>
      <c r="AP64" s="167"/>
      <c r="AQ64" s="167"/>
      <c r="AR64" s="167">
        <v>15288</v>
      </c>
      <c r="AS64" s="126"/>
      <c r="AT64" s="126"/>
      <c r="AU64" s="126"/>
      <c r="AV64" s="126"/>
      <c r="AW64" s="123"/>
      <c r="AX64" s="123"/>
      <c r="AY64" s="123"/>
      <c r="AZ64" s="123"/>
      <c r="BA64" s="123"/>
      <c r="BB64" s="123"/>
      <c r="BC64" s="123"/>
      <c r="BD64" s="123"/>
      <c r="BE64" s="123"/>
      <c r="BF64" s="123"/>
      <c r="BG64" s="123"/>
      <c r="BH64" s="123"/>
      <c r="BI64" s="123"/>
      <c r="BJ64" s="123"/>
      <c r="BK64" s="123"/>
      <c r="BL64" s="123"/>
      <c r="BM64" s="123">
        <v>0</v>
      </c>
      <c r="BN64" s="123">
        <v>2</v>
      </c>
      <c r="BO64" s="123">
        <v>1</v>
      </c>
      <c r="BP64" s="123">
        <v>1</v>
      </c>
      <c r="BQ64" s="123">
        <v>0</v>
      </c>
      <c r="BR64" s="123">
        <f t="shared" si="1"/>
        <v>3</v>
      </c>
      <c r="BZ64" s="123">
        <v>98.04</v>
      </c>
      <c r="CA64" s="123">
        <v>87.68</v>
      </c>
      <c r="CB64" s="123">
        <v>98.11</v>
      </c>
      <c r="CC64" s="123">
        <v>99.06</v>
      </c>
      <c r="CD64" s="123">
        <v>97.64</v>
      </c>
      <c r="CE64" s="123">
        <v>96.7</v>
      </c>
      <c r="CF64" s="139">
        <v>96.205</v>
      </c>
      <c r="CG64" s="123">
        <v>0.922</v>
      </c>
      <c r="CH64" s="123">
        <v>92.2</v>
      </c>
      <c r="CI64" s="123">
        <v>94.2025</v>
      </c>
      <c r="CJ64" s="123">
        <v>0.814032990440282</v>
      </c>
      <c r="CK64" s="123">
        <v>81.4032990440282</v>
      </c>
      <c r="CL64" s="123">
        <v>0.84658</v>
      </c>
      <c r="CM64" s="123">
        <v>84.658</v>
      </c>
      <c r="CN64" s="123">
        <v>0.6301</v>
      </c>
      <c r="CO64" s="123">
        <v>63.01</v>
      </c>
      <c r="CP64" s="123">
        <v>98.72</v>
      </c>
      <c r="CQ64" s="123"/>
      <c r="CR64" s="123">
        <v>81.947824761007</v>
      </c>
      <c r="CS64" s="123">
        <v>76.7256752472201</v>
      </c>
      <c r="CT64" s="186"/>
      <c r="CU64" s="186"/>
      <c r="CV64" s="186"/>
      <c r="CW64" s="186">
        <v>1</v>
      </c>
      <c r="CX64" s="143">
        <v>100</v>
      </c>
      <c r="CY64" s="180">
        <v>1</v>
      </c>
      <c r="CZ64" s="143">
        <v>100</v>
      </c>
      <c r="DA64" s="180">
        <v>1</v>
      </c>
      <c r="DB64" s="143">
        <v>100</v>
      </c>
      <c r="DC64" s="181">
        <v>1</v>
      </c>
      <c r="DD64" s="123">
        <v>100</v>
      </c>
      <c r="DE64" s="126"/>
      <c r="DF64" s="123">
        <v>0</v>
      </c>
      <c r="DG64" s="144">
        <v>0</v>
      </c>
      <c r="DH64" s="144">
        <v>0</v>
      </c>
      <c r="DI64" s="123">
        <v>1</v>
      </c>
      <c r="DJ64" s="143">
        <v>100</v>
      </c>
      <c r="DK64" s="123"/>
      <c r="DL64" s="123">
        <v>0</v>
      </c>
      <c r="DM64" s="123">
        <v>0</v>
      </c>
      <c r="DN64" s="123"/>
      <c r="DO64" s="123">
        <v>0</v>
      </c>
      <c r="DP64" s="143">
        <v>0</v>
      </c>
      <c r="DQ64" s="123"/>
      <c r="DR64" s="123">
        <v>2</v>
      </c>
      <c r="DS64" s="145"/>
      <c r="DT64" s="143">
        <v>0</v>
      </c>
      <c r="DU64" s="123">
        <v>0</v>
      </c>
      <c r="DV64" s="146">
        <v>0</v>
      </c>
      <c r="DW64" s="187">
        <v>1</v>
      </c>
      <c r="DX64" s="147">
        <v>100</v>
      </c>
      <c r="DY64" s="147">
        <v>33.3333333333333</v>
      </c>
      <c r="DZ64" s="157">
        <v>4</v>
      </c>
      <c r="EA64" s="126"/>
      <c r="EB64" s="126"/>
      <c r="EC64" s="123">
        <v>2</v>
      </c>
      <c r="ED64" s="123">
        <v>100</v>
      </c>
      <c r="EE64" s="123"/>
      <c r="EF64" s="123"/>
      <c r="EG64" s="123"/>
      <c r="EH64" s="123"/>
      <c r="EI64" s="123"/>
      <c r="EJ64" s="123"/>
      <c r="EK64" s="123"/>
      <c r="EL64" s="123"/>
      <c r="EM64" s="150"/>
      <c r="EN64" s="150"/>
      <c r="EO64" s="150"/>
      <c r="EP64" s="150"/>
      <c r="EQ64" s="216" t="s">
        <v>537</v>
      </c>
      <c r="ER64" s="123">
        <v>55.3333333333333</v>
      </c>
      <c r="ES64" s="123"/>
      <c r="ET64" s="123"/>
      <c r="EU64" s="123">
        <v>74.94</v>
      </c>
      <c r="EV64" s="123">
        <v>24.98</v>
      </c>
      <c r="EW64" s="123"/>
      <c r="EX64" s="123"/>
      <c r="EY64" s="123"/>
      <c r="EZ64" s="123"/>
      <c r="FA64" s="123">
        <v>26.5</v>
      </c>
      <c r="FB64" s="123">
        <v>8.83333333333333</v>
      </c>
      <c r="FC64" s="123"/>
      <c r="FD64" s="123"/>
      <c r="FE64" s="123"/>
      <c r="FF64" s="123"/>
      <c r="FG64" s="123"/>
      <c r="FH64" s="123"/>
      <c r="FI64" s="123"/>
      <c r="FJ64" s="123"/>
      <c r="FK64" s="123"/>
      <c r="FL64" s="123"/>
      <c r="FM64" s="123"/>
      <c r="FN64" s="123"/>
      <c r="FO64" s="123"/>
      <c r="FP64" s="123"/>
      <c r="FQ64" s="123"/>
      <c r="FR64" s="123"/>
      <c r="FS64" s="123"/>
      <c r="FT64" s="123"/>
      <c r="FU64" s="150"/>
      <c r="FV64" s="123"/>
      <c r="FW64" s="123"/>
      <c r="FX64" s="151"/>
      <c r="FY64" s="151"/>
      <c r="FZ64" s="151"/>
      <c r="GA64" s="151">
        <v>6.794118</v>
      </c>
      <c r="GB64" s="123">
        <v>0.147186139540114</v>
      </c>
      <c r="GC64" s="123"/>
      <c r="GD64" s="123">
        <v>14.7186139540114</v>
      </c>
      <c r="GE64" s="123">
        <v>1</v>
      </c>
      <c r="GF64" s="123">
        <v>1</v>
      </c>
      <c r="GG64" s="126">
        <v>100</v>
      </c>
      <c r="GH64" s="123">
        <v>6.84</v>
      </c>
      <c r="GK64" s="123">
        <v>96.22</v>
      </c>
      <c r="GL64" s="123">
        <v>96.22</v>
      </c>
      <c r="GM64" s="123">
        <v>99.16</v>
      </c>
      <c r="GN64" s="123">
        <v>99.16</v>
      </c>
      <c r="GS64" s="123">
        <v>1</v>
      </c>
      <c r="GV64" s="123">
        <v>10</v>
      </c>
      <c r="HA64" s="123">
        <v>35</v>
      </c>
      <c r="HF64" s="123">
        <v>17</v>
      </c>
      <c r="HK64" s="123">
        <v>4</v>
      </c>
    </row>
    <row r="65" s="123" customFormat="1" ht="15" spans="1:219">
      <c r="A65" s="137" t="s">
        <v>538</v>
      </c>
      <c r="B65" s="188" t="s">
        <v>539</v>
      </c>
      <c r="C65" s="188" t="s">
        <v>539</v>
      </c>
      <c r="D65" s="138"/>
      <c r="E65" s="139" t="s">
        <v>293</v>
      </c>
      <c r="F65" s="138"/>
      <c r="G65" s="140"/>
      <c r="H65" s="141">
        <v>5422069</v>
      </c>
      <c r="I65" s="142">
        <v>13.4007290971553</v>
      </c>
      <c r="J65" s="139">
        <v>141775733420.114</v>
      </c>
      <c r="K65" s="126">
        <v>20.32584354761</v>
      </c>
      <c r="L65" s="123">
        <v>49</v>
      </c>
      <c r="M65" s="123">
        <v>49</v>
      </c>
      <c r="N65" s="123"/>
      <c r="O65" s="123"/>
      <c r="P65" s="123"/>
      <c r="Q65" s="123"/>
      <c r="R65" s="123">
        <v>12</v>
      </c>
      <c r="S65" s="123"/>
      <c r="T65" s="123"/>
      <c r="U65" s="123"/>
      <c r="V65" s="123"/>
      <c r="W65" s="123">
        <v>2</v>
      </c>
      <c r="X65" s="123"/>
      <c r="Y65" s="123"/>
      <c r="Z65" s="123"/>
      <c r="AA65" s="123"/>
      <c r="AB65" s="123">
        <v>0</v>
      </c>
      <c r="AC65" s="153"/>
      <c r="AD65" s="153"/>
      <c r="AE65" s="153"/>
      <c r="AF65" s="153"/>
      <c r="AG65" s="153"/>
      <c r="AH65" s="153"/>
      <c r="AI65" s="153">
        <v>13</v>
      </c>
      <c r="AJ65" s="126"/>
      <c r="AK65" s="126"/>
      <c r="AL65" s="126"/>
      <c r="AM65" s="126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>
        <v>0</v>
      </c>
      <c r="BN65" s="123">
        <v>1</v>
      </c>
      <c r="BO65" s="123">
        <v>8</v>
      </c>
      <c r="BP65" s="123">
        <v>17</v>
      </c>
      <c r="BQ65" s="123">
        <v>0</v>
      </c>
      <c r="BR65" s="123">
        <f t="shared" si="1"/>
        <v>18</v>
      </c>
      <c r="BZ65" s="123">
        <v>76.47</v>
      </c>
      <c r="CA65" s="123">
        <v>64.45</v>
      </c>
      <c r="CB65" s="123">
        <v>58.96</v>
      </c>
      <c r="CC65" s="123">
        <v>71.23</v>
      </c>
      <c r="CD65" s="123">
        <v>68.87</v>
      </c>
      <c r="CE65" s="123">
        <v>61.32</v>
      </c>
      <c r="CF65" s="139">
        <v>66.8833333333333</v>
      </c>
      <c r="CG65" s="123">
        <v>0.88</v>
      </c>
      <c r="CH65" s="123">
        <v>88</v>
      </c>
      <c r="CI65" s="123">
        <v>77.4416666666666</v>
      </c>
      <c r="CJ65" s="123">
        <v>0.650486620689228</v>
      </c>
      <c r="CK65" s="123">
        <v>65.0486620689228</v>
      </c>
      <c r="CL65" s="123">
        <v>0.80214</v>
      </c>
      <c r="CM65" s="123">
        <v>80.214</v>
      </c>
      <c r="CN65" s="123">
        <v>0.6986</v>
      </c>
      <c r="CO65" s="123">
        <v>69.86</v>
      </c>
      <c r="CP65" s="123">
        <v>94.44</v>
      </c>
      <c r="CQ65" s="123"/>
      <c r="CR65" s="123">
        <v>77.3906655172307</v>
      </c>
      <c r="CS65" s="123">
        <v>80.7743530101435</v>
      </c>
      <c r="CT65" s="189"/>
      <c r="CU65" s="189"/>
      <c r="CV65" s="189"/>
      <c r="CW65" s="189">
        <v>1</v>
      </c>
      <c r="CX65" s="143">
        <v>100</v>
      </c>
      <c r="CY65" s="180">
        <v>1</v>
      </c>
      <c r="CZ65" s="143">
        <v>100</v>
      </c>
      <c r="DA65" s="180">
        <v>1</v>
      </c>
      <c r="DB65" s="143">
        <v>100</v>
      </c>
      <c r="DC65" s="181">
        <v>1</v>
      </c>
      <c r="DD65" s="123">
        <v>100</v>
      </c>
      <c r="DE65" s="126"/>
      <c r="DF65" s="123">
        <v>0</v>
      </c>
      <c r="DG65" s="144">
        <v>0</v>
      </c>
      <c r="DH65" s="144">
        <v>0</v>
      </c>
      <c r="DI65" s="123">
        <v>1</v>
      </c>
      <c r="DJ65" s="143">
        <v>100</v>
      </c>
      <c r="DK65" s="123"/>
      <c r="DL65" s="123">
        <v>0</v>
      </c>
      <c r="DM65" s="123">
        <v>0</v>
      </c>
      <c r="DN65" s="123"/>
      <c r="DO65" s="123">
        <v>0</v>
      </c>
      <c r="DP65" s="143">
        <v>0</v>
      </c>
      <c r="DQ65" s="123"/>
      <c r="DR65" s="123">
        <v>2</v>
      </c>
      <c r="DS65" s="145"/>
      <c r="DT65" s="143">
        <v>0</v>
      </c>
      <c r="DU65" s="123">
        <v>0</v>
      </c>
      <c r="DV65" s="146">
        <v>0</v>
      </c>
      <c r="DW65" s="187">
        <v>1</v>
      </c>
      <c r="DX65" s="147">
        <v>100</v>
      </c>
      <c r="DY65" s="147">
        <v>33.3333333333333</v>
      </c>
      <c r="DZ65" s="157">
        <v>4</v>
      </c>
      <c r="EA65" s="126"/>
      <c r="EB65" s="126"/>
      <c r="EC65" s="123">
        <v>2</v>
      </c>
      <c r="ED65" s="123">
        <v>100</v>
      </c>
      <c r="EE65" s="123"/>
      <c r="EF65" s="123"/>
      <c r="EG65" s="123"/>
      <c r="EH65" s="123"/>
      <c r="EI65" s="123"/>
      <c r="EJ65" s="123">
        <v>464</v>
      </c>
      <c r="EK65" s="123"/>
      <c r="EL65" s="123"/>
      <c r="EM65" s="150"/>
      <c r="EN65" s="150"/>
      <c r="EO65" s="150"/>
      <c r="EP65" s="150"/>
      <c r="EQ65" s="216" t="s">
        <v>540</v>
      </c>
      <c r="ER65" s="123">
        <v>72.5555555555556</v>
      </c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3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50"/>
      <c r="FV65" s="123"/>
      <c r="FW65" s="123"/>
      <c r="FX65" s="151"/>
      <c r="FY65" s="151"/>
      <c r="FZ65" s="151"/>
      <c r="GA65" s="151"/>
      <c r="GB65" s="123"/>
      <c r="GC65" s="123"/>
      <c r="GD65" s="123"/>
      <c r="GE65" s="123">
        <v>1</v>
      </c>
      <c r="GF65" s="123">
        <v>1</v>
      </c>
      <c r="GG65" s="126">
        <v>100</v>
      </c>
      <c r="GH65" s="123">
        <v>6.16</v>
      </c>
      <c r="GK65" s="123">
        <v>75.63</v>
      </c>
      <c r="GL65" s="123">
        <v>75.63</v>
      </c>
      <c r="GM65" s="123">
        <v>98.02</v>
      </c>
      <c r="GN65" s="123">
        <v>98.02</v>
      </c>
      <c r="GV65" s="123">
        <v>453</v>
      </c>
      <c r="HA65" s="123">
        <v>8</v>
      </c>
      <c r="HF65" s="123">
        <v>5</v>
      </c>
    </row>
    <row r="66" s="123" customFormat="1" ht="15" spans="1:219">
      <c r="A66" s="137" t="s">
        <v>541</v>
      </c>
      <c r="B66" s="138" t="s">
        <v>542</v>
      </c>
      <c r="C66" s="185" t="s">
        <v>543</v>
      </c>
      <c r="D66" s="138"/>
      <c r="E66" s="139" t="s">
        <v>293</v>
      </c>
      <c r="F66" s="138"/>
      <c r="G66" s="140"/>
      <c r="H66" s="141">
        <v>2126324</v>
      </c>
      <c r="I66" s="142">
        <v>5.2552433207286</v>
      </c>
      <c r="J66" s="139">
        <v>72485008929.2766</v>
      </c>
      <c r="K66" s="126">
        <v>10.391897932757</v>
      </c>
      <c r="L66" s="123">
        <v>117</v>
      </c>
      <c r="M66" s="123">
        <v>117</v>
      </c>
      <c r="N66" s="123"/>
      <c r="O66" s="123"/>
      <c r="P66" s="123"/>
      <c r="Q66" s="123"/>
      <c r="R66" s="123">
        <v>1</v>
      </c>
      <c r="S66" s="123"/>
      <c r="T66" s="123"/>
      <c r="U66" s="123"/>
      <c r="V66" s="123"/>
      <c r="W66" s="123">
        <v>0</v>
      </c>
      <c r="X66" s="123"/>
      <c r="Y66" s="123"/>
      <c r="Z66" s="123"/>
      <c r="AA66" s="123"/>
      <c r="AB66" s="123">
        <v>0</v>
      </c>
      <c r="AC66" s="153"/>
      <c r="AD66" s="153"/>
      <c r="AE66" s="153"/>
      <c r="AF66" s="153"/>
      <c r="AG66" s="153"/>
      <c r="AH66" s="153"/>
      <c r="AI66" s="153">
        <v>21</v>
      </c>
      <c r="AJ66" s="126"/>
      <c r="AK66" s="126"/>
      <c r="AL66" s="126"/>
      <c r="AM66" s="126"/>
      <c r="AN66" s="123">
        <v>6918</v>
      </c>
      <c r="AO66" s="123"/>
      <c r="AP66" s="123"/>
      <c r="AQ66" s="123"/>
      <c r="AR66" s="123">
        <v>10047</v>
      </c>
      <c r="AS66" s="123"/>
      <c r="AT66" s="123"/>
      <c r="AU66" s="123"/>
      <c r="AV66" s="123"/>
      <c r="AW66" s="123"/>
      <c r="AX66" s="123"/>
      <c r="AY66" s="123"/>
      <c r="AZ66" s="123"/>
      <c r="BA66" s="123"/>
      <c r="BB66" s="123"/>
      <c r="BC66" s="123"/>
      <c r="BD66" s="123"/>
      <c r="BE66" s="123"/>
      <c r="BF66" s="123"/>
      <c r="BG66" s="123"/>
      <c r="BH66" s="123"/>
      <c r="BI66" s="123"/>
      <c r="BJ66" s="123"/>
      <c r="BK66" s="123"/>
      <c r="BL66" s="123"/>
      <c r="BM66" s="123">
        <v>0</v>
      </c>
      <c r="BN66" s="150">
        <v>0</v>
      </c>
      <c r="BO66" s="123">
        <v>2</v>
      </c>
      <c r="BP66" s="123">
        <v>3</v>
      </c>
      <c r="BQ66" s="123">
        <v>0</v>
      </c>
      <c r="BR66" s="123">
        <f t="shared" si="1"/>
        <v>3</v>
      </c>
      <c r="BZ66" s="123">
        <v>82.84</v>
      </c>
      <c r="CA66" s="123">
        <v>75.83</v>
      </c>
      <c r="CB66" s="123">
        <v>81.13</v>
      </c>
      <c r="CC66" s="123">
        <v>75</v>
      </c>
      <c r="CD66" s="123">
        <v>82.55</v>
      </c>
      <c r="CE66" s="123">
        <v>77.36</v>
      </c>
      <c r="CF66" s="139">
        <v>79.1183333333333</v>
      </c>
      <c r="CG66" s="123">
        <v>0.931</v>
      </c>
      <c r="CH66" s="123">
        <v>93.1</v>
      </c>
      <c r="CI66" s="123">
        <v>86.1091666666667</v>
      </c>
      <c r="CJ66" s="123">
        <v>0.832138921350186</v>
      </c>
      <c r="CK66" s="123">
        <v>83.2138921350186</v>
      </c>
      <c r="CL66" s="123">
        <v>0.87589</v>
      </c>
      <c r="CM66" s="123">
        <v>87.589</v>
      </c>
      <c r="CN66" s="123">
        <v>0.7808</v>
      </c>
      <c r="CO66" s="123">
        <v>78.08</v>
      </c>
      <c r="CP66" s="123">
        <v>96.48</v>
      </c>
      <c r="CQ66" s="123"/>
      <c r="CR66" s="123">
        <v>86.3407230337547</v>
      </c>
      <c r="CS66" s="123">
        <v>81.2053784716917</v>
      </c>
      <c r="CT66" s="193"/>
      <c r="CU66" s="193"/>
      <c r="CV66" s="193"/>
      <c r="CW66" s="193">
        <v>1</v>
      </c>
      <c r="CX66" s="143">
        <v>100</v>
      </c>
      <c r="CY66" s="180">
        <v>1</v>
      </c>
      <c r="CZ66" s="143">
        <v>100</v>
      </c>
      <c r="DA66" s="180">
        <v>1</v>
      </c>
      <c r="DB66" s="143">
        <v>100</v>
      </c>
      <c r="DC66" s="181">
        <v>1</v>
      </c>
      <c r="DD66" s="123">
        <v>100</v>
      </c>
      <c r="DE66" s="126"/>
      <c r="DF66" s="123">
        <v>1</v>
      </c>
      <c r="DG66" s="144">
        <v>100</v>
      </c>
      <c r="DH66" s="144">
        <v>100</v>
      </c>
      <c r="DI66" s="123">
        <v>0</v>
      </c>
      <c r="DJ66" s="143">
        <v>0</v>
      </c>
      <c r="DK66" s="123"/>
      <c r="DL66" s="123">
        <v>0</v>
      </c>
      <c r="DM66" s="123">
        <v>0</v>
      </c>
      <c r="DN66" s="123"/>
      <c r="DO66" s="123">
        <v>1</v>
      </c>
      <c r="DP66" s="143">
        <v>100</v>
      </c>
      <c r="DQ66" s="123"/>
      <c r="DR66" s="123">
        <v>2</v>
      </c>
      <c r="DS66" s="145"/>
      <c r="DT66" s="143">
        <v>0</v>
      </c>
      <c r="DU66" s="123">
        <v>0</v>
      </c>
      <c r="DV66" s="146">
        <v>0</v>
      </c>
      <c r="DW66" s="187">
        <v>1</v>
      </c>
      <c r="DX66" s="147">
        <v>100</v>
      </c>
      <c r="DY66" s="147">
        <v>33.3333333333333</v>
      </c>
      <c r="DZ66" s="157">
        <v>4</v>
      </c>
      <c r="EA66" s="126"/>
      <c r="EB66" s="126"/>
      <c r="EC66" s="123">
        <v>1</v>
      </c>
      <c r="ED66" s="123">
        <v>50</v>
      </c>
      <c r="EE66" s="123"/>
      <c r="EF66" s="123"/>
      <c r="EG66" s="123"/>
      <c r="EH66" s="123"/>
      <c r="EI66" s="123"/>
      <c r="EJ66" s="123">
        <v>485</v>
      </c>
      <c r="EK66" s="123"/>
      <c r="EL66" s="123"/>
      <c r="EM66" s="123"/>
      <c r="EN66" s="123"/>
      <c r="EO66" s="123"/>
      <c r="EP66" s="123"/>
      <c r="EQ66" s="123">
        <v>0.288</v>
      </c>
      <c r="ER66" s="123">
        <v>28.8</v>
      </c>
      <c r="ES66" s="123"/>
      <c r="ET66" s="123"/>
      <c r="EU66" s="123"/>
      <c r="EV66" s="123"/>
      <c r="EW66" s="123"/>
      <c r="EX66" s="123"/>
      <c r="EY66" s="123"/>
      <c r="EZ66" s="123"/>
      <c r="FA66" s="123"/>
      <c r="FB66" s="123"/>
      <c r="FC66" s="123"/>
      <c r="FD66" s="123"/>
      <c r="FE66" s="123"/>
      <c r="FF66" s="123"/>
      <c r="FG66" s="123"/>
      <c r="FH66" s="123"/>
      <c r="FI66" s="123"/>
      <c r="FJ66" s="123"/>
      <c r="FK66" s="123"/>
      <c r="FL66" s="123"/>
      <c r="FM66" s="123"/>
      <c r="FN66" s="123"/>
      <c r="FO66" s="123"/>
      <c r="FP66" s="123"/>
      <c r="FQ66" s="123"/>
      <c r="FR66" s="123"/>
      <c r="FS66" s="123"/>
      <c r="FT66" s="123"/>
      <c r="FU66" s="150"/>
      <c r="FV66" s="123"/>
      <c r="FW66" s="123"/>
      <c r="FX66" s="151"/>
      <c r="FY66" s="151"/>
      <c r="FZ66" s="151"/>
      <c r="GA66" s="151"/>
      <c r="GB66" s="123"/>
      <c r="GC66" s="123"/>
      <c r="GD66" s="123"/>
      <c r="GE66" s="123">
        <v>1</v>
      </c>
      <c r="GF66" s="123">
        <v>1</v>
      </c>
      <c r="GG66" s="126">
        <v>100</v>
      </c>
      <c r="GH66" s="123">
        <v>9.34</v>
      </c>
      <c r="GK66" s="123">
        <v>78.43</v>
      </c>
      <c r="GL66" s="123">
        <v>78.43</v>
      </c>
      <c r="GM66" s="123">
        <v>99.6</v>
      </c>
      <c r="GN66" s="123">
        <v>99.6</v>
      </c>
      <c r="GV66" s="123">
        <v>199</v>
      </c>
      <c r="HA66" s="123">
        <v>22</v>
      </c>
      <c r="HF66" s="123">
        <v>4</v>
      </c>
      <c r="HK66" s="123">
        <v>9</v>
      </c>
    </row>
    <row r="67" s="123" customFormat="1" ht="15" spans="1:219">
      <c r="A67" s="137" t="s">
        <v>544</v>
      </c>
      <c r="B67" s="138" t="s">
        <v>545</v>
      </c>
      <c r="C67" s="188" t="s">
        <v>546</v>
      </c>
      <c r="D67" s="138"/>
      <c r="E67" s="139" t="s">
        <v>547</v>
      </c>
      <c r="F67" s="138"/>
      <c r="G67" s="140"/>
      <c r="H67" s="141">
        <v>42647492</v>
      </c>
      <c r="I67" s="142">
        <v>105.403949482217</v>
      </c>
      <c r="J67" s="139">
        <v>5025772564328.3</v>
      </c>
      <c r="K67" s="126">
        <v>720.525751368921</v>
      </c>
      <c r="L67" s="123">
        <v>0</v>
      </c>
      <c r="M67" s="123">
        <v>0</v>
      </c>
      <c r="N67" s="123"/>
      <c r="O67" s="123"/>
      <c r="P67" s="123"/>
      <c r="Q67" s="123"/>
      <c r="R67" s="123">
        <v>0</v>
      </c>
      <c r="S67" s="123"/>
      <c r="T67" s="123"/>
      <c r="U67" s="123"/>
      <c r="V67" s="123"/>
      <c r="W67" s="123">
        <v>0</v>
      </c>
      <c r="X67" s="123"/>
      <c r="Y67" s="123"/>
      <c r="Z67" s="123"/>
      <c r="AA67" s="123"/>
      <c r="AB67" s="123">
        <v>0</v>
      </c>
      <c r="AC67" s="194"/>
      <c r="AD67" s="194"/>
      <c r="AE67" s="194"/>
      <c r="AF67" s="194"/>
      <c r="AG67" s="194"/>
      <c r="AH67" s="194"/>
      <c r="AI67" s="194">
        <v>2</v>
      </c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  <c r="BD67" s="123"/>
      <c r="BE67" s="123"/>
      <c r="BF67" s="123"/>
      <c r="BG67" s="123"/>
      <c r="BH67" s="123"/>
      <c r="BI67" s="123"/>
      <c r="BJ67" s="123"/>
      <c r="BK67" s="123"/>
      <c r="BL67" s="123"/>
      <c r="BM67" s="123">
        <v>0</v>
      </c>
      <c r="BN67" s="123">
        <v>1</v>
      </c>
      <c r="BO67" s="123">
        <v>1</v>
      </c>
      <c r="BP67" s="123">
        <v>1</v>
      </c>
      <c r="BQ67" s="123">
        <v>0</v>
      </c>
      <c r="BR67" s="123">
        <f t="shared" si="1"/>
        <v>2</v>
      </c>
      <c r="BZ67" s="123">
        <v>1.96</v>
      </c>
      <c r="CA67" s="123">
        <v>1.42</v>
      </c>
      <c r="CB67" s="123">
        <v>1.42</v>
      </c>
      <c r="CC67" s="123">
        <v>9.43</v>
      </c>
      <c r="CD67" s="123">
        <v>5.19</v>
      </c>
      <c r="CE67" s="123">
        <v>13.68</v>
      </c>
      <c r="CF67" s="139">
        <v>5.51666666666667</v>
      </c>
      <c r="CG67" s="123">
        <v>0.496</v>
      </c>
      <c r="CH67" s="123">
        <v>49.6</v>
      </c>
      <c r="CI67" s="123">
        <v>27.5583333333333</v>
      </c>
      <c r="CJ67" s="123">
        <v>0.353608391825726</v>
      </c>
      <c r="CK67" s="123">
        <v>35.3608391825726</v>
      </c>
      <c r="CL67" s="123">
        <v>0.20827</v>
      </c>
      <c r="CM67" s="123">
        <v>20.827</v>
      </c>
      <c r="CN67" s="123">
        <v>0.1096</v>
      </c>
      <c r="CO67" s="123">
        <v>10.96</v>
      </c>
      <c r="CP67" s="123">
        <v>18.41</v>
      </c>
      <c r="CQ67" s="123"/>
      <c r="CR67" s="123">
        <v>21.3894597956431</v>
      </c>
      <c r="CS67" s="123">
        <v>49.1023909791189</v>
      </c>
      <c r="CT67" s="195"/>
      <c r="CU67" s="195"/>
      <c r="CV67" s="195"/>
      <c r="CW67" s="195">
        <v>0</v>
      </c>
      <c r="CX67" s="143">
        <v>0</v>
      </c>
      <c r="CY67" s="180">
        <v>0</v>
      </c>
      <c r="CZ67" s="143">
        <v>0</v>
      </c>
      <c r="DA67" s="180">
        <v>0</v>
      </c>
      <c r="DB67" s="143">
        <v>0</v>
      </c>
      <c r="DC67" s="181">
        <v>0</v>
      </c>
      <c r="DD67" s="123">
        <v>0</v>
      </c>
      <c r="DE67" s="126"/>
      <c r="DF67" s="123">
        <v>0</v>
      </c>
      <c r="DG67" s="144">
        <v>0</v>
      </c>
      <c r="DH67" s="144">
        <v>0</v>
      </c>
      <c r="DI67" s="123">
        <v>0</v>
      </c>
      <c r="DJ67" s="143">
        <v>0</v>
      </c>
      <c r="DK67" s="123"/>
      <c r="DL67" s="123">
        <v>0</v>
      </c>
      <c r="DM67" s="123">
        <v>0</v>
      </c>
      <c r="DN67" s="123"/>
      <c r="DO67" s="123">
        <v>0</v>
      </c>
      <c r="DP67" s="143">
        <v>0</v>
      </c>
      <c r="DQ67" s="123"/>
      <c r="DR67" s="123">
        <v>0</v>
      </c>
      <c r="DS67" s="145"/>
      <c r="DT67" s="143">
        <v>0</v>
      </c>
      <c r="DU67" s="123">
        <v>0</v>
      </c>
      <c r="DV67" s="146">
        <v>0</v>
      </c>
      <c r="DW67" s="187">
        <v>0</v>
      </c>
      <c r="DX67" s="147">
        <v>0</v>
      </c>
      <c r="DY67" s="147">
        <v>0</v>
      </c>
      <c r="DZ67" s="157">
        <v>2</v>
      </c>
      <c r="EA67" s="126"/>
      <c r="EB67" s="126"/>
      <c r="EC67" s="123">
        <v>0</v>
      </c>
      <c r="ED67" s="123">
        <v>0</v>
      </c>
      <c r="EE67" s="123"/>
      <c r="EF67" s="123"/>
      <c r="EG67" s="123"/>
      <c r="EH67" s="123"/>
      <c r="EI67" s="123"/>
      <c r="EJ67" s="123"/>
      <c r="EK67" s="123"/>
      <c r="EL67" s="123"/>
      <c r="EM67" s="150"/>
      <c r="EN67" s="150"/>
      <c r="EO67" s="150"/>
      <c r="EP67" s="150"/>
      <c r="EQ67" s="216" t="s">
        <v>548</v>
      </c>
      <c r="ER67" s="123">
        <v>54.5555555555556</v>
      </c>
      <c r="ES67" s="123"/>
      <c r="ET67" s="123"/>
      <c r="EU67" s="123"/>
      <c r="EV67" s="123"/>
      <c r="EW67" s="123"/>
      <c r="EX67" s="123"/>
      <c r="EY67" s="123"/>
      <c r="EZ67" s="123"/>
      <c r="FA67" s="123"/>
      <c r="FB67" s="123"/>
      <c r="FC67" s="123"/>
      <c r="FD67" s="123"/>
      <c r="FE67" s="123"/>
      <c r="FF67" s="123"/>
      <c r="FG67" s="123"/>
      <c r="FH67" s="123"/>
      <c r="FI67" s="123"/>
      <c r="FJ67" s="123"/>
      <c r="FK67" s="123"/>
      <c r="FL67" s="123"/>
      <c r="FM67" s="123"/>
      <c r="FN67" s="123"/>
      <c r="FO67" s="123"/>
      <c r="FP67" s="123"/>
      <c r="FQ67" s="123"/>
      <c r="FR67" s="123"/>
      <c r="FS67" s="123"/>
      <c r="FT67" s="123"/>
      <c r="FU67" s="150"/>
      <c r="FV67" s="123"/>
      <c r="FW67" s="123"/>
      <c r="FX67" s="151"/>
      <c r="FY67" s="151"/>
      <c r="FZ67" s="151"/>
      <c r="GA67" s="151"/>
      <c r="GB67" s="123"/>
      <c r="GC67" s="123"/>
      <c r="GD67" s="123"/>
      <c r="GE67" s="123">
        <v>0.235</v>
      </c>
      <c r="GF67" s="123">
        <v>0.524</v>
      </c>
      <c r="GG67" s="126">
        <v>37.95</v>
      </c>
    </row>
    <row r="68" s="123" customFormat="1" ht="15" spans="1:219">
      <c r="A68" s="137" t="s">
        <v>549</v>
      </c>
      <c r="B68" s="185" t="s">
        <v>550</v>
      </c>
      <c r="C68" s="185" t="s">
        <v>550</v>
      </c>
      <c r="D68" s="138"/>
      <c r="E68" s="139" t="s">
        <v>325</v>
      </c>
      <c r="F68" s="138"/>
      <c r="G68" s="140"/>
      <c r="H68" s="141">
        <v>3524788</v>
      </c>
      <c r="I68" s="142">
        <v>8.71156916536912</v>
      </c>
      <c r="J68" s="139">
        <v>23586055802.4517</v>
      </c>
      <c r="K68" s="126">
        <v>3.38144242728225</v>
      </c>
      <c r="L68" s="123">
        <v>5</v>
      </c>
      <c r="M68" s="123">
        <v>5</v>
      </c>
      <c r="N68" s="123"/>
      <c r="O68" s="123"/>
      <c r="P68" s="123"/>
      <c r="Q68" s="123"/>
      <c r="R68" s="123">
        <v>5</v>
      </c>
      <c r="S68" s="123"/>
      <c r="T68" s="123"/>
      <c r="U68" s="123"/>
      <c r="V68" s="123"/>
      <c r="W68" s="123">
        <v>0</v>
      </c>
      <c r="X68" s="123"/>
      <c r="Y68" s="123"/>
      <c r="Z68" s="123"/>
      <c r="AA68" s="123"/>
      <c r="AB68" s="123">
        <v>0</v>
      </c>
      <c r="AC68" s="153"/>
      <c r="AD68" s="153"/>
      <c r="AE68" s="153"/>
      <c r="AF68" s="153"/>
      <c r="AG68" s="153"/>
      <c r="AH68" s="153"/>
      <c r="AI68" s="153">
        <v>6</v>
      </c>
      <c r="AJ68" s="126"/>
      <c r="AK68" s="126"/>
      <c r="AL68" s="126"/>
      <c r="AM68" s="126"/>
      <c r="AN68" s="123"/>
      <c r="AO68" s="123"/>
      <c r="AP68" s="123"/>
      <c r="AQ68" s="123"/>
      <c r="AR68" s="123"/>
      <c r="AS68" s="123"/>
      <c r="AT68" s="123"/>
      <c r="AU68" s="123"/>
      <c r="AV68" s="123"/>
      <c r="AW68" s="123"/>
      <c r="AX68" s="123"/>
      <c r="AY68" s="123"/>
      <c r="AZ68" s="123"/>
      <c r="BA68" s="123"/>
      <c r="BB68" s="123"/>
      <c r="BC68" s="123"/>
      <c r="BD68" s="123"/>
      <c r="BE68" s="123"/>
      <c r="BF68" s="123"/>
      <c r="BG68" s="123"/>
      <c r="BH68" s="123"/>
      <c r="BI68" s="123"/>
      <c r="BJ68" s="123"/>
      <c r="BK68" s="123"/>
      <c r="BL68" s="123"/>
      <c r="BM68" s="123">
        <v>0</v>
      </c>
      <c r="BN68" s="150">
        <v>0</v>
      </c>
      <c r="BO68" s="150">
        <v>0</v>
      </c>
      <c r="BP68" s="123">
        <v>0</v>
      </c>
      <c r="BQ68" s="123">
        <v>0</v>
      </c>
      <c r="BR68" s="123">
        <f t="shared" ref="BR68:BR83" si="2">SUM(BM68,BN68,BP68,BQ68)</f>
        <v>0</v>
      </c>
      <c r="BZ68" s="123">
        <v>56.37</v>
      </c>
      <c r="CA68" s="123">
        <v>67.3</v>
      </c>
      <c r="CB68" s="123">
        <v>33.96</v>
      </c>
      <c r="CC68" s="123">
        <v>45.75</v>
      </c>
      <c r="CD68" s="123">
        <v>43.87</v>
      </c>
      <c r="CE68" s="123">
        <v>35.38</v>
      </c>
      <c r="CF68" s="139">
        <v>47.105</v>
      </c>
      <c r="CG68" s="123">
        <v>0.747</v>
      </c>
      <c r="CH68" s="123">
        <v>74.7</v>
      </c>
      <c r="CI68" s="123">
        <v>60.9025</v>
      </c>
      <c r="CJ68" s="123">
        <v>0.906783067483494</v>
      </c>
      <c r="CK68" s="123">
        <v>90.6783067483494</v>
      </c>
      <c r="CL68" s="123">
        <v>0.84569</v>
      </c>
      <c r="CM68" s="123">
        <v>84.569</v>
      </c>
      <c r="CN68" s="123">
        <v>0.7808</v>
      </c>
      <c r="CO68" s="123">
        <v>78.08</v>
      </c>
      <c r="CP68" s="123">
        <v>56.36</v>
      </c>
      <c r="CQ68" s="123"/>
      <c r="CR68" s="123">
        <v>77.4218266870873</v>
      </c>
      <c r="CS68" s="123">
        <v>66.749046867838</v>
      </c>
      <c r="CT68" s="186"/>
      <c r="CU68" s="186"/>
      <c r="CV68" s="186"/>
      <c r="CW68" s="186">
        <v>1</v>
      </c>
      <c r="CX68" s="143">
        <v>100</v>
      </c>
      <c r="CY68" s="180">
        <v>1</v>
      </c>
      <c r="CZ68" s="143">
        <v>100</v>
      </c>
      <c r="DA68" s="180">
        <v>1</v>
      </c>
      <c r="DB68" s="143">
        <v>100</v>
      </c>
      <c r="DC68" s="181">
        <v>1</v>
      </c>
      <c r="DD68" s="123">
        <v>100</v>
      </c>
      <c r="DE68" s="126"/>
      <c r="DF68" s="123">
        <v>0</v>
      </c>
      <c r="DG68" s="144">
        <v>0</v>
      </c>
      <c r="DH68" s="144">
        <v>0</v>
      </c>
      <c r="DI68" s="123">
        <v>0</v>
      </c>
      <c r="DJ68" s="143">
        <v>0</v>
      </c>
      <c r="DK68" s="123"/>
      <c r="DL68" s="123">
        <v>0</v>
      </c>
      <c r="DM68" s="123">
        <v>0</v>
      </c>
      <c r="DN68" s="123"/>
      <c r="DO68" s="123">
        <v>0</v>
      </c>
      <c r="DP68" s="143">
        <v>0</v>
      </c>
      <c r="DQ68" s="123"/>
      <c r="DR68" s="123">
        <v>0</v>
      </c>
      <c r="DS68" s="145"/>
      <c r="DT68" s="143">
        <v>0</v>
      </c>
      <c r="DU68" s="123">
        <v>0</v>
      </c>
      <c r="DV68" s="146">
        <v>0</v>
      </c>
      <c r="DW68" s="187">
        <v>0</v>
      </c>
      <c r="DX68" s="147">
        <v>0</v>
      </c>
      <c r="DY68" s="147">
        <v>0</v>
      </c>
      <c r="DZ68" s="157">
        <v>3</v>
      </c>
      <c r="EA68" s="126"/>
      <c r="EB68" s="126"/>
      <c r="EC68" s="123">
        <v>0</v>
      </c>
      <c r="ED68" s="123">
        <v>0</v>
      </c>
      <c r="EE68" s="123"/>
      <c r="EF68" s="123"/>
      <c r="EG68" s="123"/>
      <c r="EH68" s="123"/>
      <c r="EI68" s="123"/>
      <c r="EJ68" s="123">
        <v>425</v>
      </c>
      <c r="EK68" s="123"/>
      <c r="EL68" s="123"/>
      <c r="EM68" s="150"/>
      <c r="EN68" s="150"/>
      <c r="EO68" s="150"/>
      <c r="EP68" s="150"/>
      <c r="EQ68" s="216" t="s">
        <v>551</v>
      </c>
      <c r="ER68" s="123">
        <v>55.1333333333333</v>
      </c>
      <c r="ES68" s="123"/>
      <c r="ET68" s="123"/>
      <c r="EU68" s="123"/>
      <c r="EV68" s="123"/>
      <c r="EW68" s="123"/>
      <c r="EX68" s="123"/>
      <c r="EY68" s="123"/>
      <c r="EZ68" s="123"/>
      <c r="FA68" s="123"/>
      <c r="FB68" s="123"/>
      <c r="FC68" s="123"/>
      <c r="FD68" s="123"/>
      <c r="FE68" s="123"/>
      <c r="FF68" s="123"/>
      <c r="FG68" s="123"/>
      <c r="FH68" s="123"/>
      <c r="FI68" s="123"/>
      <c r="FJ68" s="123"/>
      <c r="FK68" s="123"/>
      <c r="FL68" s="123"/>
      <c r="FM68" s="123"/>
      <c r="FN68" s="123"/>
      <c r="FO68" s="123"/>
      <c r="FP68" s="123"/>
      <c r="FQ68" s="123"/>
      <c r="FR68" s="123"/>
      <c r="FS68" s="123"/>
      <c r="FT68" s="123"/>
      <c r="FU68" s="150"/>
      <c r="FV68" s="123"/>
      <c r="FW68" s="123"/>
      <c r="FX68" s="151"/>
      <c r="FY68" s="151"/>
      <c r="FZ68" s="151"/>
      <c r="GA68" s="151">
        <v>4</v>
      </c>
      <c r="GB68" s="123">
        <v>0.25</v>
      </c>
      <c r="GC68" s="123"/>
      <c r="GD68" s="123">
        <v>25</v>
      </c>
      <c r="GE68" s="123">
        <v>1</v>
      </c>
      <c r="GF68" s="123">
        <v>1</v>
      </c>
      <c r="GG68" s="126">
        <v>100</v>
      </c>
    </row>
    <row r="69" s="123" customFormat="1" ht="15" spans="1:219">
      <c r="A69" s="137" t="s">
        <v>552</v>
      </c>
      <c r="B69" s="138" t="s">
        <v>553</v>
      </c>
      <c r="C69" s="138" t="s">
        <v>553</v>
      </c>
      <c r="D69" s="138"/>
      <c r="E69" s="139" t="s">
        <v>325</v>
      </c>
      <c r="F69" s="138"/>
      <c r="G69" s="140"/>
      <c r="H69" s="141">
        <v>10202850</v>
      </c>
      <c r="I69" s="142">
        <v>25.216504782383</v>
      </c>
      <c r="J69" s="139">
        <v>74315882352.9412</v>
      </c>
      <c r="K69" s="126">
        <v>10.6543832387198</v>
      </c>
      <c r="L69" s="123">
        <v>5</v>
      </c>
      <c r="M69" s="123">
        <v>5</v>
      </c>
      <c r="N69" s="123"/>
      <c r="O69" s="123"/>
      <c r="P69" s="123"/>
      <c r="Q69" s="123"/>
      <c r="R69" s="123">
        <v>7</v>
      </c>
      <c r="S69" s="123"/>
      <c r="T69" s="123"/>
      <c r="U69" s="123"/>
      <c r="V69" s="123"/>
      <c r="W69" s="123">
        <v>0</v>
      </c>
      <c r="X69" s="123"/>
      <c r="Y69" s="123"/>
      <c r="Z69" s="123"/>
      <c r="AA69" s="123"/>
      <c r="AB69" s="123">
        <v>0</v>
      </c>
      <c r="AC69" s="191"/>
      <c r="AD69" s="191"/>
      <c r="AE69" s="191"/>
      <c r="AF69" s="191"/>
      <c r="AG69" s="191"/>
      <c r="AH69" s="191"/>
      <c r="AI69" s="191">
        <v>3</v>
      </c>
      <c r="AJ69" s="126"/>
      <c r="AK69" s="126"/>
      <c r="AL69" s="126"/>
      <c r="AM69" s="126"/>
      <c r="AN69" s="123"/>
      <c r="AO69" s="123"/>
      <c r="AP69" s="123"/>
      <c r="AQ69" s="123"/>
      <c r="AR69" s="123"/>
      <c r="AS69" s="123"/>
      <c r="AT69" s="123"/>
      <c r="AU69" s="123"/>
      <c r="AV69" s="123"/>
      <c r="AW69" s="123"/>
      <c r="AX69" s="123"/>
      <c r="AY69" s="123"/>
      <c r="AZ69" s="123"/>
      <c r="BA69" s="123"/>
      <c r="BB69" s="123"/>
      <c r="BC69" s="123"/>
      <c r="BD69" s="123"/>
      <c r="BE69" s="123"/>
      <c r="BF69" s="123"/>
      <c r="BG69" s="123"/>
      <c r="BH69" s="123"/>
      <c r="BI69" s="123"/>
      <c r="BJ69" s="123"/>
      <c r="BK69" s="123"/>
      <c r="BL69" s="123"/>
      <c r="BM69" s="123">
        <v>0</v>
      </c>
      <c r="BN69" s="150">
        <v>0</v>
      </c>
      <c r="BO69" s="150">
        <v>0</v>
      </c>
      <c r="BP69" s="123">
        <v>0</v>
      </c>
      <c r="BQ69" s="123">
        <v>0</v>
      </c>
      <c r="BR69" s="123">
        <f t="shared" si="2"/>
        <v>0</v>
      </c>
      <c r="BZ69" s="123">
        <v>9.31</v>
      </c>
      <c r="CA69" s="123">
        <v>18.01</v>
      </c>
      <c r="CB69" s="123">
        <v>50.47</v>
      </c>
      <c r="CC69" s="123">
        <v>49.06</v>
      </c>
      <c r="CD69" s="123">
        <v>29.25</v>
      </c>
      <c r="CE69" s="123">
        <v>12.26</v>
      </c>
      <c r="CF69" s="139">
        <v>28.06</v>
      </c>
      <c r="CG69" s="123">
        <v>0.789</v>
      </c>
      <c r="CH69" s="123">
        <v>78.9</v>
      </c>
      <c r="CI69" s="123">
        <v>53.48</v>
      </c>
      <c r="CJ69" s="123">
        <v>0.774728431062413</v>
      </c>
      <c r="CK69" s="123">
        <v>77.4728431062413</v>
      </c>
      <c r="CL69" s="123">
        <v>0.76073</v>
      </c>
      <c r="CM69" s="123">
        <v>76.073</v>
      </c>
      <c r="CN69" s="123">
        <v>0.4932</v>
      </c>
      <c r="CO69" s="123">
        <v>49.32</v>
      </c>
      <c r="CP69" s="123">
        <v>93.76</v>
      </c>
      <c r="CQ69" s="123"/>
      <c r="CR69" s="123">
        <v>74.1564607765603</v>
      </c>
      <c r="CS69" s="123">
        <v>72.9001560669723</v>
      </c>
      <c r="CT69" s="193"/>
      <c r="CU69" s="193"/>
      <c r="CV69" s="193"/>
      <c r="CW69" s="193">
        <v>1</v>
      </c>
      <c r="CX69" s="143">
        <v>100</v>
      </c>
      <c r="CY69" s="180">
        <v>1</v>
      </c>
      <c r="CZ69" s="143">
        <v>100</v>
      </c>
      <c r="DA69" s="180">
        <v>1</v>
      </c>
      <c r="DB69" s="143">
        <v>100</v>
      </c>
      <c r="DC69" s="181">
        <v>1</v>
      </c>
      <c r="DD69" s="123">
        <v>100</v>
      </c>
      <c r="DE69" s="126"/>
      <c r="DF69" s="123">
        <v>0</v>
      </c>
      <c r="DG69" s="144">
        <v>0</v>
      </c>
      <c r="DH69" s="144">
        <v>0</v>
      </c>
      <c r="DI69" s="123">
        <v>0</v>
      </c>
      <c r="DJ69" s="143">
        <v>0</v>
      </c>
      <c r="DK69" s="123"/>
      <c r="DL69" s="123">
        <v>0</v>
      </c>
      <c r="DM69" s="123">
        <v>0</v>
      </c>
      <c r="DN69" s="123"/>
      <c r="DO69" s="123">
        <v>1</v>
      </c>
      <c r="DP69" s="143">
        <v>100</v>
      </c>
      <c r="DQ69" s="123"/>
      <c r="DR69" s="123">
        <v>0</v>
      </c>
      <c r="DS69" s="145"/>
      <c r="DT69" s="143">
        <v>0</v>
      </c>
      <c r="DU69" s="123">
        <v>0</v>
      </c>
      <c r="DV69" s="146">
        <v>0</v>
      </c>
      <c r="DW69" s="187">
        <v>0</v>
      </c>
      <c r="DX69" s="147">
        <v>0</v>
      </c>
      <c r="DY69" s="147">
        <v>0</v>
      </c>
      <c r="DZ69" s="157">
        <v>3</v>
      </c>
      <c r="EA69" s="126"/>
      <c r="EB69" s="126"/>
      <c r="EC69" s="123">
        <v>2</v>
      </c>
      <c r="ED69" s="123">
        <v>100</v>
      </c>
      <c r="EE69" s="123"/>
      <c r="EF69" s="123"/>
      <c r="EG69" s="123"/>
      <c r="EH69" s="123"/>
      <c r="EI69" s="123"/>
      <c r="EJ69" s="123"/>
      <c r="EK69" s="123"/>
      <c r="EL69" s="123"/>
      <c r="EM69" s="150"/>
      <c r="EN69" s="150"/>
      <c r="EO69" s="150"/>
      <c r="EP69" s="150"/>
      <c r="EQ69" s="216" t="s">
        <v>554</v>
      </c>
      <c r="ER69" s="123">
        <v>59.6888888888889</v>
      </c>
      <c r="ES69" s="123"/>
      <c r="ET69" s="123"/>
      <c r="EU69" s="123"/>
      <c r="EV69" s="123"/>
      <c r="EW69" s="123"/>
      <c r="EX69" s="123"/>
      <c r="EY69" s="123"/>
      <c r="EZ69" s="123"/>
      <c r="FA69" s="123"/>
      <c r="FB69" s="123"/>
      <c r="FC69" s="123"/>
      <c r="FD69" s="123"/>
      <c r="FE69" s="123"/>
      <c r="FF69" s="123"/>
      <c r="FG69" s="123"/>
      <c r="FH69" s="123"/>
      <c r="FI69" s="123"/>
      <c r="FJ69" s="123"/>
      <c r="FK69" s="123"/>
      <c r="FL69" s="123"/>
      <c r="FM69" s="123"/>
      <c r="FN69" s="123"/>
      <c r="FO69" s="123"/>
      <c r="FP69" s="123"/>
      <c r="FQ69" s="123"/>
      <c r="FR69" s="123"/>
      <c r="FS69" s="123"/>
      <c r="FT69" s="123"/>
      <c r="FU69" s="150"/>
      <c r="FV69" s="123"/>
      <c r="FW69" s="123"/>
      <c r="FX69" s="151"/>
      <c r="FY69" s="151"/>
      <c r="FZ69" s="151"/>
      <c r="GA69" s="151">
        <v>2.5</v>
      </c>
      <c r="GB69" s="123">
        <v>0.4</v>
      </c>
      <c r="GC69" s="123"/>
      <c r="GD69" s="123">
        <v>40</v>
      </c>
      <c r="GE69" s="123">
        <v>0.804</v>
      </c>
      <c r="GF69" s="123">
        <v>0.904</v>
      </c>
      <c r="GG69" s="126">
        <v>85.4</v>
      </c>
      <c r="HK69" s="123">
        <v>1</v>
      </c>
    </row>
    <row r="70" s="123" customFormat="1" ht="15" spans="1:219">
      <c r="A70" s="137" t="s">
        <v>555</v>
      </c>
      <c r="B70" s="185" t="s">
        <v>556</v>
      </c>
      <c r="C70" s="185" t="s">
        <v>556</v>
      </c>
      <c r="D70" s="138"/>
      <c r="E70" s="139" t="s">
        <v>325</v>
      </c>
      <c r="F70" s="138"/>
      <c r="G70" s="140"/>
      <c r="H70" s="141">
        <v>3033500</v>
      </c>
      <c r="I70" s="142">
        <v>7.49734312053582</v>
      </c>
      <c r="J70" s="139">
        <v>25786585949.6346</v>
      </c>
      <c r="K70" s="126">
        <v>3.69692400099346</v>
      </c>
      <c r="L70" s="123">
        <v>3</v>
      </c>
      <c r="M70" s="123">
        <v>3</v>
      </c>
      <c r="N70" s="123"/>
      <c r="O70" s="123"/>
      <c r="P70" s="123"/>
      <c r="Q70" s="123"/>
      <c r="R70" s="123">
        <v>3</v>
      </c>
      <c r="S70" s="123"/>
      <c r="T70" s="123"/>
      <c r="U70" s="123"/>
      <c r="V70" s="123"/>
      <c r="W70" s="123">
        <v>0</v>
      </c>
      <c r="X70" s="123"/>
      <c r="Y70" s="123"/>
      <c r="Z70" s="123"/>
      <c r="AA70" s="123"/>
      <c r="AB70" s="123">
        <v>0</v>
      </c>
      <c r="AC70" s="153"/>
      <c r="AD70" s="153"/>
      <c r="AE70" s="153"/>
      <c r="AF70" s="153"/>
      <c r="AG70" s="153"/>
      <c r="AH70" s="153"/>
      <c r="AI70" s="153">
        <v>2</v>
      </c>
      <c r="AJ70" s="126"/>
      <c r="AK70" s="126"/>
      <c r="AL70" s="126"/>
      <c r="AM70" s="126"/>
      <c r="AN70" s="123"/>
      <c r="AO70" s="123"/>
      <c r="AP70" s="123"/>
      <c r="AQ70" s="123"/>
      <c r="AR70" s="123"/>
      <c r="AS70" s="123"/>
      <c r="AT70" s="123"/>
      <c r="AU70" s="123"/>
      <c r="AV70" s="123"/>
      <c r="AW70" s="123"/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3"/>
      <c r="BK70" s="123"/>
      <c r="BL70" s="123"/>
      <c r="BM70" s="123">
        <v>1</v>
      </c>
      <c r="BN70" s="150">
        <v>0</v>
      </c>
      <c r="BO70" s="150">
        <v>0</v>
      </c>
      <c r="BP70" s="123">
        <v>2</v>
      </c>
      <c r="BQ70" s="123">
        <v>0</v>
      </c>
      <c r="BR70" s="123">
        <f t="shared" si="2"/>
        <v>3</v>
      </c>
      <c r="BZ70" s="123">
        <v>50.49</v>
      </c>
      <c r="CA70" s="123">
        <v>17.06</v>
      </c>
      <c r="CB70" s="123">
        <v>43.87</v>
      </c>
      <c r="CC70" s="123">
        <v>52.83</v>
      </c>
      <c r="CD70" s="123">
        <v>49.06</v>
      </c>
      <c r="CE70" s="123">
        <v>57.08</v>
      </c>
      <c r="CF70" s="139">
        <v>45.065</v>
      </c>
      <c r="CG70" s="123">
        <v>0.811</v>
      </c>
      <c r="CH70" s="123">
        <v>81.1</v>
      </c>
      <c r="CI70" s="123">
        <v>63.0825</v>
      </c>
      <c r="CJ70" s="123">
        <v>0.721991889682482</v>
      </c>
      <c r="CK70" s="123">
        <v>72.1991889682482</v>
      </c>
      <c r="CL70" s="123">
        <v>0.84217</v>
      </c>
      <c r="CM70" s="123">
        <v>84.217</v>
      </c>
      <c r="CN70" s="123">
        <v>0.8493</v>
      </c>
      <c r="CO70" s="123">
        <v>84.93</v>
      </c>
      <c r="CP70" s="123">
        <v>53.81</v>
      </c>
      <c r="CQ70" s="123"/>
      <c r="CR70" s="123">
        <v>73.7890472420621</v>
      </c>
      <c r="CS70" s="123">
        <v>74.2535558335455</v>
      </c>
      <c r="CT70" s="186"/>
      <c r="CU70" s="186"/>
      <c r="CV70" s="186"/>
      <c r="CW70" s="186">
        <v>0</v>
      </c>
      <c r="CX70" s="143">
        <v>0</v>
      </c>
      <c r="CY70" s="180">
        <v>0</v>
      </c>
      <c r="CZ70" s="143">
        <v>0</v>
      </c>
      <c r="DA70" s="180">
        <v>0</v>
      </c>
      <c r="DB70" s="143">
        <v>0</v>
      </c>
      <c r="DC70" s="181">
        <v>0</v>
      </c>
      <c r="DD70" s="123">
        <v>0</v>
      </c>
      <c r="DE70" s="126"/>
      <c r="DF70" s="123">
        <v>0</v>
      </c>
      <c r="DG70" s="144">
        <v>0</v>
      </c>
      <c r="DH70" s="144">
        <v>0</v>
      </c>
      <c r="DI70" s="123">
        <v>0</v>
      </c>
      <c r="DJ70" s="143">
        <v>0</v>
      </c>
      <c r="DK70" s="123"/>
      <c r="DL70" s="123">
        <v>0</v>
      </c>
      <c r="DM70" s="123">
        <v>0</v>
      </c>
      <c r="DN70" s="123"/>
      <c r="DO70" s="123">
        <v>0</v>
      </c>
      <c r="DP70" s="143">
        <v>0</v>
      </c>
      <c r="DQ70" s="123"/>
      <c r="DR70" s="123">
        <v>0</v>
      </c>
      <c r="DS70" s="145"/>
      <c r="DT70" s="143">
        <v>0</v>
      </c>
      <c r="DU70" s="123">
        <v>0</v>
      </c>
      <c r="DV70" s="146">
        <v>0</v>
      </c>
      <c r="DW70" s="187">
        <v>0</v>
      </c>
      <c r="DX70" s="147">
        <v>0</v>
      </c>
      <c r="DY70" s="147">
        <v>0</v>
      </c>
      <c r="DZ70" s="157">
        <v>4</v>
      </c>
      <c r="EA70" s="126"/>
      <c r="EB70" s="126"/>
      <c r="EC70" s="123">
        <v>0</v>
      </c>
      <c r="ED70" s="123">
        <v>0</v>
      </c>
      <c r="EE70" s="123"/>
      <c r="EF70" s="123"/>
      <c r="EG70" s="123"/>
      <c r="EH70" s="123"/>
      <c r="EI70" s="123"/>
      <c r="EJ70" s="123"/>
      <c r="EK70" s="123"/>
      <c r="EL70" s="123"/>
      <c r="EM70" s="150"/>
      <c r="EN70" s="150"/>
      <c r="EO70" s="150"/>
      <c r="EP70" s="150"/>
      <c r="EQ70" s="216" t="s">
        <v>557</v>
      </c>
      <c r="ER70" s="123">
        <v>63.3555555555556</v>
      </c>
      <c r="ES70" s="123"/>
      <c r="ET70" s="123"/>
      <c r="EU70" s="123"/>
      <c r="EV70" s="123"/>
      <c r="EW70" s="123"/>
      <c r="EX70" s="123"/>
      <c r="EY70" s="123"/>
      <c r="EZ70" s="123"/>
      <c r="FA70" s="123"/>
      <c r="FB70" s="123"/>
      <c r="FC70" s="123"/>
      <c r="FD70" s="123"/>
      <c r="FE70" s="123"/>
      <c r="FF70" s="123"/>
      <c r="FG70" s="123"/>
      <c r="FH70" s="123"/>
      <c r="FI70" s="123"/>
      <c r="FJ70" s="123"/>
      <c r="FK70" s="123"/>
      <c r="FL70" s="123"/>
      <c r="FM70" s="123"/>
      <c r="FN70" s="123"/>
      <c r="FO70" s="123"/>
      <c r="FP70" s="123"/>
      <c r="FQ70" s="123"/>
      <c r="FR70" s="123"/>
      <c r="FS70" s="123"/>
      <c r="FT70" s="123"/>
      <c r="FU70" s="150"/>
      <c r="FV70" s="123"/>
      <c r="FW70" s="123"/>
      <c r="FX70" s="151"/>
      <c r="FY70" s="151"/>
      <c r="FZ70" s="151"/>
      <c r="GA70" s="151">
        <v>3</v>
      </c>
      <c r="GB70" s="123">
        <v>0.333333333333333</v>
      </c>
      <c r="GC70" s="123"/>
      <c r="GD70" s="123">
        <v>33.3333333333333</v>
      </c>
      <c r="GE70" s="123">
        <v>1</v>
      </c>
      <c r="GF70" s="123">
        <v>1</v>
      </c>
      <c r="GG70" s="126">
        <v>100</v>
      </c>
      <c r="GV70" s="123">
        <v>1672</v>
      </c>
      <c r="HA70" s="123">
        <v>4</v>
      </c>
    </row>
    <row r="71" s="123" customFormat="1" ht="15" spans="1:219">
      <c r="A71" s="137" t="s">
        <v>558</v>
      </c>
      <c r="B71" s="185" t="s">
        <v>559</v>
      </c>
      <c r="C71" s="185" t="s">
        <v>559</v>
      </c>
      <c r="D71" s="138"/>
      <c r="E71" s="139" t="s">
        <v>293</v>
      </c>
      <c r="F71" s="138"/>
      <c r="G71" s="140"/>
      <c r="H71" s="141">
        <v>1588670</v>
      </c>
      <c r="I71" s="142">
        <v>3.9264229752107</v>
      </c>
      <c r="J71" s="139">
        <v>47736702127.6596</v>
      </c>
      <c r="K71" s="126">
        <v>6.8438280340295</v>
      </c>
      <c r="L71" s="123">
        <v>5</v>
      </c>
      <c r="M71" s="123">
        <v>5</v>
      </c>
      <c r="N71" s="123"/>
      <c r="O71" s="123"/>
      <c r="P71" s="123"/>
      <c r="Q71" s="123"/>
      <c r="R71" s="123">
        <v>4</v>
      </c>
      <c r="S71" s="123"/>
      <c r="T71" s="123"/>
      <c r="U71" s="123"/>
      <c r="V71" s="123"/>
      <c r="W71" s="123">
        <v>0</v>
      </c>
      <c r="X71" s="123"/>
      <c r="Y71" s="123"/>
      <c r="Z71" s="123"/>
      <c r="AA71" s="123"/>
      <c r="AB71" s="123">
        <v>0</v>
      </c>
      <c r="AC71" s="123"/>
      <c r="AD71" s="123"/>
      <c r="AE71" s="123"/>
      <c r="AF71" s="123"/>
      <c r="AG71" s="123"/>
      <c r="AH71" s="123"/>
      <c r="AI71" s="123">
        <v>8</v>
      </c>
      <c r="AJ71" s="123"/>
      <c r="AK71" s="123"/>
      <c r="AL71" s="123"/>
      <c r="AM71" s="123"/>
      <c r="AN71" s="123"/>
      <c r="AO71" s="123"/>
      <c r="AP71" s="123"/>
      <c r="AQ71" s="123"/>
      <c r="AR71" s="123"/>
      <c r="AS71" s="123"/>
      <c r="AT71" s="123"/>
      <c r="AU71" s="123"/>
      <c r="AV71" s="123"/>
      <c r="AW71" s="123"/>
      <c r="AX71" s="123"/>
      <c r="AY71" s="123"/>
      <c r="AZ71" s="123"/>
      <c r="BA71" s="123"/>
      <c r="BB71" s="123"/>
      <c r="BC71" s="123"/>
      <c r="BD71" s="123"/>
      <c r="BE71" s="123"/>
      <c r="BF71" s="123"/>
      <c r="BG71" s="123"/>
      <c r="BH71" s="123"/>
      <c r="BI71" s="123"/>
      <c r="BJ71" s="123"/>
      <c r="BK71" s="123"/>
      <c r="BL71" s="123"/>
      <c r="BM71" s="123">
        <v>0</v>
      </c>
      <c r="BN71" s="150">
        <v>0</v>
      </c>
      <c r="BO71" s="150">
        <v>0</v>
      </c>
      <c r="BP71" s="123">
        <v>3</v>
      </c>
      <c r="BQ71" s="123">
        <v>0</v>
      </c>
      <c r="BR71" s="123">
        <f t="shared" si="2"/>
        <v>3</v>
      </c>
      <c r="BZ71" s="123">
        <v>11.27</v>
      </c>
      <c r="CA71" s="123">
        <v>29.38</v>
      </c>
      <c r="CB71" s="123">
        <v>74.53</v>
      </c>
      <c r="CC71" s="123">
        <v>83.96</v>
      </c>
      <c r="CD71" s="123">
        <v>65.57</v>
      </c>
      <c r="CE71" s="123">
        <v>59.43</v>
      </c>
      <c r="CF71" s="139">
        <v>54.0233333333333</v>
      </c>
      <c r="CG71" s="123">
        <v>0.899</v>
      </c>
      <c r="CH71" s="123">
        <v>89.9</v>
      </c>
      <c r="CI71" s="123">
        <v>71.9616666666666</v>
      </c>
      <c r="CJ71" s="123">
        <v>0.828478826757462</v>
      </c>
      <c r="CK71" s="123">
        <v>82.8478826757462</v>
      </c>
      <c r="CL71" s="123">
        <v>0.91958</v>
      </c>
      <c r="CM71" s="123">
        <v>91.958</v>
      </c>
      <c r="CN71" s="123">
        <v>0.9041</v>
      </c>
      <c r="CO71" s="123">
        <v>90.41</v>
      </c>
      <c r="CP71" s="123">
        <v>97.94</v>
      </c>
      <c r="CQ71" s="123"/>
      <c r="CR71" s="123">
        <v>90.7889706689366</v>
      </c>
      <c r="CS71" s="123">
        <v>64.413378453899</v>
      </c>
      <c r="CT71" s="186"/>
      <c r="CU71" s="186"/>
      <c r="CV71" s="186"/>
      <c r="CW71" s="186">
        <v>1</v>
      </c>
      <c r="CX71" s="143">
        <v>100</v>
      </c>
      <c r="CY71" s="180">
        <v>1</v>
      </c>
      <c r="CZ71" s="143">
        <v>100</v>
      </c>
      <c r="DA71" s="180">
        <v>1</v>
      </c>
      <c r="DB71" s="143">
        <v>100</v>
      </c>
      <c r="DC71" s="181">
        <v>1</v>
      </c>
      <c r="DD71" s="123">
        <v>100</v>
      </c>
      <c r="DE71" s="126"/>
      <c r="DF71" s="123">
        <v>0</v>
      </c>
      <c r="DG71" s="144">
        <v>0</v>
      </c>
      <c r="DH71" s="144">
        <v>0</v>
      </c>
      <c r="DI71" s="123">
        <v>1</v>
      </c>
      <c r="DJ71" s="143">
        <v>100</v>
      </c>
      <c r="DK71" s="123"/>
      <c r="DL71" s="123">
        <v>0</v>
      </c>
      <c r="DM71" s="123">
        <v>0</v>
      </c>
      <c r="DN71" s="123"/>
      <c r="DO71" s="123">
        <v>0</v>
      </c>
      <c r="DP71" s="143">
        <v>0</v>
      </c>
      <c r="DQ71" s="123"/>
      <c r="DR71" s="123">
        <v>1</v>
      </c>
      <c r="DS71" s="145"/>
      <c r="DT71" s="143">
        <v>0</v>
      </c>
      <c r="DU71" s="123">
        <v>0</v>
      </c>
      <c r="DV71" s="146">
        <v>0</v>
      </c>
      <c r="DW71" s="187">
        <v>0</v>
      </c>
      <c r="DX71" s="147">
        <v>0</v>
      </c>
      <c r="DY71" s="147">
        <v>0</v>
      </c>
      <c r="DZ71" s="157">
        <v>2</v>
      </c>
      <c r="EA71" s="126"/>
      <c r="EB71" s="126"/>
      <c r="EC71" s="123">
        <v>0</v>
      </c>
      <c r="ED71" s="123">
        <v>0</v>
      </c>
      <c r="EE71" s="123"/>
      <c r="EF71" s="123"/>
      <c r="EG71" s="123"/>
      <c r="EH71" s="123"/>
      <c r="EI71" s="123"/>
      <c r="EJ71" s="123"/>
      <c r="EK71" s="123"/>
      <c r="EL71" s="123"/>
      <c r="EM71" s="150"/>
      <c r="EN71" s="150"/>
      <c r="EO71" s="150"/>
      <c r="EP71" s="150"/>
      <c r="EQ71" s="216" t="s">
        <v>560</v>
      </c>
      <c r="ER71" s="123">
        <v>59.4444444444444</v>
      </c>
      <c r="ES71" s="123"/>
      <c r="ET71" s="123"/>
      <c r="EU71" s="123"/>
      <c r="EV71" s="123"/>
      <c r="EW71" s="123"/>
      <c r="EX71" s="123"/>
      <c r="EY71" s="123"/>
      <c r="EZ71" s="123"/>
      <c r="FA71" s="123"/>
      <c r="FB71" s="123"/>
      <c r="FC71" s="123"/>
      <c r="FD71" s="123"/>
      <c r="FE71" s="123"/>
      <c r="FF71" s="123"/>
      <c r="FG71" s="123"/>
      <c r="FH71" s="123"/>
      <c r="FI71" s="123"/>
      <c r="FJ71" s="123"/>
      <c r="FK71" s="123"/>
      <c r="FL71" s="123"/>
      <c r="FM71" s="123"/>
      <c r="FN71" s="123"/>
      <c r="FO71" s="123"/>
      <c r="FP71" s="123"/>
      <c r="FQ71" s="123"/>
      <c r="FR71" s="123"/>
      <c r="FS71" s="123"/>
      <c r="FT71" s="123"/>
      <c r="FU71" s="150"/>
      <c r="FV71" s="123"/>
      <c r="FW71" s="123"/>
      <c r="FX71" s="151"/>
      <c r="FY71" s="151"/>
      <c r="FZ71" s="151"/>
      <c r="GA71" s="151">
        <v>4</v>
      </c>
      <c r="GB71" s="123">
        <v>0.25</v>
      </c>
      <c r="GC71" s="123"/>
      <c r="GD71" s="123">
        <v>25</v>
      </c>
      <c r="GE71" s="123">
        <v>0.992</v>
      </c>
      <c r="GF71" s="123">
        <v>1</v>
      </c>
      <c r="GG71" s="126">
        <v>99.6</v>
      </c>
      <c r="HK71" s="123">
        <v>1</v>
      </c>
    </row>
    <row r="72" s="123" customFormat="1" ht="15" spans="1:219">
      <c r="A72" s="137" t="s">
        <v>561</v>
      </c>
      <c r="B72" s="185" t="s">
        <v>562</v>
      </c>
      <c r="C72" s="185" t="s">
        <v>562</v>
      </c>
      <c r="D72" s="138"/>
      <c r="E72" s="139" t="s">
        <v>337</v>
      </c>
      <c r="F72" s="138"/>
      <c r="G72" s="140"/>
      <c r="H72" s="141">
        <v>17638801</v>
      </c>
      <c r="I72" s="142">
        <v>43.5945750228615</v>
      </c>
      <c r="J72" s="139">
        <v>46352647034.7775</v>
      </c>
      <c r="K72" s="126">
        <v>6.6454013597281</v>
      </c>
      <c r="L72" s="123">
        <v>8</v>
      </c>
      <c r="M72" s="123">
        <v>8</v>
      </c>
      <c r="N72" s="123"/>
      <c r="O72" s="123"/>
      <c r="P72" s="123"/>
      <c r="Q72" s="123"/>
      <c r="R72" s="123">
        <v>10</v>
      </c>
      <c r="S72" s="123"/>
      <c r="T72" s="123"/>
      <c r="U72" s="123"/>
      <c r="V72" s="123"/>
      <c r="W72" s="123">
        <v>0</v>
      </c>
      <c r="X72" s="123"/>
      <c r="Y72" s="123"/>
      <c r="Z72" s="123"/>
      <c r="AA72" s="123"/>
      <c r="AB72" s="123">
        <v>0</v>
      </c>
      <c r="AC72" s="123"/>
      <c r="AD72" s="123"/>
      <c r="AE72" s="123"/>
      <c r="AF72" s="123"/>
      <c r="AG72" s="123"/>
      <c r="AH72" s="123"/>
      <c r="AI72" s="123">
        <v>10</v>
      </c>
      <c r="AJ72" s="123"/>
      <c r="AK72" s="123"/>
      <c r="AL72" s="123"/>
      <c r="AM72" s="123"/>
      <c r="AN72" s="123"/>
      <c r="AO72" s="123"/>
      <c r="AP72" s="123"/>
      <c r="AQ72" s="123"/>
      <c r="AR72" s="123"/>
      <c r="AS72" s="123"/>
      <c r="AT72" s="123"/>
      <c r="AU72" s="123"/>
      <c r="AV72" s="123"/>
      <c r="AW72" s="123"/>
      <c r="AX72" s="123"/>
      <c r="AY72" s="123"/>
      <c r="AZ72" s="123"/>
      <c r="BA72" s="123"/>
      <c r="BB72" s="123"/>
      <c r="BC72" s="123"/>
      <c r="BD72" s="123"/>
      <c r="BE72" s="123"/>
      <c r="BF72" s="123"/>
      <c r="BG72" s="123"/>
      <c r="BH72" s="123"/>
      <c r="BI72" s="123"/>
      <c r="BJ72" s="123"/>
      <c r="BK72" s="123"/>
      <c r="BL72" s="123"/>
      <c r="BM72" s="123">
        <v>1</v>
      </c>
      <c r="BN72" s="123">
        <v>2</v>
      </c>
      <c r="BO72" s="123">
        <v>1</v>
      </c>
      <c r="BP72" s="123">
        <v>2</v>
      </c>
      <c r="BQ72" s="123">
        <v>0</v>
      </c>
      <c r="BR72" s="123">
        <f t="shared" si="2"/>
        <v>5</v>
      </c>
      <c r="BZ72" s="123">
        <v>12.75</v>
      </c>
      <c r="CA72" s="123">
        <v>47.87</v>
      </c>
      <c r="CB72" s="123">
        <v>38.21</v>
      </c>
      <c r="CC72" s="123">
        <v>25.47</v>
      </c>
      <c r="CD72" s="123">
        <v>23.58</v>
      </c>
      <c r="CE72" s="123">
        <v>9.43</v>
      </c>
      <c r="CF72" s="139">
        <v>26.2183333333333</v>
      </c>
      <c r="CG72" s="123">
        <v>0.606</v>
      </c>
      <c r="CH72" s="123">
        <v>60.6</v>
      </c>
      <c r="CI72" s="123">
        <v>43.4091666666666</v>
      </c>
      <c r="CJ72" s="123">
        <v>0.583949525041982</v>
      </c>
      <c r="CK72" s="123">
        <v>58.3949525041982</v>
      </c>
      <c r="CL72" s="123">
        <v>0.57536</v>
      </c>
      <c r="CM72" s="123">
        <v>57.536</v>
      </c>
      <c r="CN72" s="123">
        <v>0.3151</v>
      </c>
      <c r="CO72" s="123">
        <v>31.51</v>
      </c>
      <c r="CP72" s="123">
        <v>37.02</v>
      </c>
      <c r="CQ72" s="123"/>
      <c r="CR72" s="123">
        <v>46.1152381260496</v>
      </c>
      <c r="CS72" s="123">
        <v>66.3839471325651</v>
      </c>
      <c r="CT72" s="186"/>
      <c r="CU72" s="186"/>
      <c r="CV72" s="186"/>
      <c r="CW72" s="186">
        <v>0</v>
      </c>
      <c r="CX72" s="143">
        <v>0</v>
      </c>
      <c r="CY72" s="180">
        <v>0</v>
      </c>
      <c r="CZ72" s="143">
        <v>0</v>
      </c>
      <c r="DA72" s="180">
        <v>0</v>
      </c>
      <c r="DB72" s="143">
        <v>0</v>
      </c>
      <c r="DC72" s="181">
        <v>0</v>
      </c>
      <c r="DD72" s="123">
        <v>0</v>
      </c>
      <c r="DE72" s="126"/>
      <c r="DF72" s="123">
        <v>0</v>
      </c>
      <c r="DG72" s="144">
        <v>0</v>
      </c>
      <c r="DH72" s="144">
        <v>0</v>
      </c>
      <c r="DI72" s="123">
        <v>0</v>
      </c>
      <c r="DJ72" s="143">
        <v>0</v>
      </c>
      <c r="DK72" s="123"/>
      <c r="DL72" s="123">
        <v>0</v>
      </c>
      <c r="DM72" s="123">
        <v>0</v>
      </c>
      <c r="DN72" s="123"/>
      <c r="DO72" s="123">
        <v>0</v>
      </c>
      <c r="DP72" s="143">
        <v>0</v>
      </c>
      <c r="DQ72" s="123"/>
      <c r="DR72" s="123">
        <v>0</v>
      </c>
      <c r="DS72" s="145"/>
      <c r="DT72" s="143">
        <v>0</v>
      </c>
      <c r="DU72" s="123">
        <v>0</v>
      </c>
      <c r="DV72" s="146">
        <v>0</v>
      </c>
      <c r="DW72" s="187">
        <v>0</v>
      </c>
      <c r="DX72" s="147">
        <v>0</v>
      </c>
      <c r="DY72" s="147">
        <v>0</v>
      </c>
      <c r="DZ72" s="157">
        <v>3</v>
      </c>
      <c r="EA72" s="126"/>
      <c r="EB72" s="126"/>
      <c r="EC72" s="123">
        <v>0</v>
      </c>
      <c r="ED72" s="123">
        <v>0</v>
      </c>
      <c r="EE72" s="123"/>
      <c r="EF72" s="123"/>
      <c r="EG72" s="123"/>
      <c r="EH72" s="123"/>
      <c r="EI72" s="123"/>
      <c r="EJ72" s="123">
        <v>336</v>
      </c>
      <c r="EK72" s="123"/>
      <c r="EL72" s="123"/>
      <c r="EM72" s="150"/>
      <c r="EN72" s="150"/>
      <c r="EO72" s="150"/>
      <c r="EP72" s="150"/>
      <c r="EQ72" s="216" t="s">
        <v>563</v>
      </c>
      <c r="ER72" s="123">
        <v>69.9777777777778</v>
      </c>
      <c r="ES72" s="123"/>
      <c r="ET72" s="123"/>
      <c r="EU72" s="123"/>
      <c r="EV72" s="123"/>
      <c r="EW72" s="123"/>
      <c r="EX72" s="123"/>
      <c r="EY72" s="123"/>
      <c r="EZ72" s="123"/>
      <c r="FA72" s="123"/>
      <c r="FB72" s="123"/>
      <c r="FC72" s="123"/>
      <c r="FD72" s="123"/>
      <c r="FE72" s="123"/>
      <c r="FF72" s="123"/>
      <c r="FG72" s="123"/>
      <c r="FH72" s="123"/>
      <c r="FI72" s="123"/>
      <c r="FJ72" s="123"/>
      <c r="FK72" s="123"/>
      <c r="FL72" s="123"/>
      <c r="FM72" s="123"/>
      <c r="FN72" s="123"/>
      <c r="FO72" s="123"/>
      <c r="FP72" s="123"/>
      <c r="FQ72" s="123"/>
      <c r="FR72" s="123"/>
      <c r="FS72" s="123"/>
      <c r="FT72" s="123"/>
      <c r="FU72" s="150"/>
      <c r="FV72" s="123"/>
      <c r="FW72" s="123"/>
      <c r="FX72" s="151"/>
      <c r="FY72" s="151"/>
      <c r="FZ72" s="151"/>
      <c r="GA72" s="151">
        <v>7</v>
      </c>
      <c r="GB72" s="123">
        <v>0.142857142857143</v>
      </c>
      <c r="GC72" s="123"/>
      <c r="GD72" s="123">
        <v>14.2857142857143</v>
      </c>
      <c r="GE72" s="123">
        <v>1</v>
      </c>
      <c r="GF72" s="123">
        <v>1</v>
      </c>
      <c r="GG72" s="126">
        <v>100</v>
      </c>
      <c r="GV72" s="123">
        <v>21</v>
      </c>
      <c r="HA72" s="123">
        <v>2</v>
      </c>
      <c r="HK72" s="123">
        <v>1</v>
      </c>
    </row>
    <row r="73" s="123" customFormat="1" ht="15" spans="1:219">
      <c r="A73" s="137" t="s">
        <v>564</v>
      </c>
      <c r="B73" s="185" t="s">
        <v>565</v>
      </c>
      <c r="C73" s="185" t="s">
        <v>565</v>
      </c>
      <c r="D73" s="138"/>
      <c r="E73" s="139" t="s">
        <v>293</v>
      </c>
      <c r="F73" s="138"/>
      <c r="G73" s="140"/>
      <c r="H73" s="141">
        <v>4973861</v>
      </c>
      <c r="I73" s="142">
        <v>12.2929759521515</v>
      </c>
      <c r="J73" s="139">
        <v>160227273001.348</v>
      </c>
      <c r="K73" s="126">
        <v>22.9711700621931</v>
      </c>
      <c r="L73" s="123">
        <v>47</v>
      </c>
      <c r="M73" s="123">
        <v>47</v>
      </c>
      <c r="N73" s="123"/>
      <c r="O73" s="123"/>
      <c r="P73" s="123"/>
      <c r="Q73" s="123"/>
      <c r="R73" s="123">
        <v>42</v>
      </c>
      <c r="S73" s="123"/>
      <c r="T73" s="123"/>
      <c r="U73" s="123"/>
      <c r="V73" s="123"/>
      <c r="W73" s="123">
        <v>0</v>
      </c>
      <c r="X73" s="123"/>
      <c r="Y73" s="123"/>
      <c r="Z73" s="123"/>
      <c r="AA73" s="123"/>
      <c r="AB73" s="123">
        <v>0</v>
      </c>
      <c r="AC73" s="123"/>
      <c r="AD73" s="123"/>
      <c r="AE73" s="123"/>
      <c r="AF73" s="123"/>
      <c r="AG73" s="123"/>
      <c r="AH73" s="123"/>
      <c r="AI73" s="123">
        <v>5</v>
      </c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  <c r="AU73" s="123"/>
      <c r="AV73" s="123"/>
      <c r="AW73" s="123"/>
      <c r="AX73" s="123"/>
      <c r="AY73" s="123"/>
      <c r="AZ73" s="123"/>
      <c r="BA73" s="123"/>
      <c r="BB73" s="123"/>
      <c r="BC73" s="123"/>
      <c r="BD73" s="123"/>
      <c r="BE73" s="123"/>
      <c r="BF73" s="123"/>
      <c r="BG73" s="123"/>
      <c r="BH73" s="123"/>
      <c r="BI73" s="123"/>
      <c r="BJ73" s="123"/>
      <c r="BK73" s="123"/>
      <c r="BL73" s="123"/>
      <c r="BM73" s="123">
        <v>0</v>
      </c>
      <c r="BN73" s="150">
        <v>0</v>
      </c>
      <c r="BO73" s="150">
        <v>0</v>
      </c>
      <c r="BP73" s="123">
        <v>0</v>
      </c>
      <c r="BQ73" s="123">
        <v>0</v>
      </c>
      <c r="BR73" s="123">
        <f t="shared" si="2"/>
        <v>0</v>
      </c>
      <c r="BZ73" s="123">
        <v>31.37</v>
      </c>
      <c r="CA73" s="123">
        <v>58.77</v>
      </c>
      <c r="CB73" s="123">
        <v>51.42</v>
      </c>
      <c r="CC73" s="123">
        <v>63.68</v>
      </c>
      <c r="CD73" s="123">
        <v>58.96</v>
      </c>
      <c r="CE73" s="123">
        <v>60.38</v>
      </c>
      <c r="CF73" s="139">
        <v>54.0966666666667</v>
      </c>
      <c r="CG73" s="123">
        <v>0.852</v>
      </c>
      <c r="CH73" s="123">
        <v>85.2</v>
      </c>
      <c r="CI73" s="123">
        <v>69.6483333333334</v>
      </c>
      <c r="CJ73" s="123">
        <v>0.633569592315644</v>
      </c>
      <c r="CK73" s="123">
        <v>63.3569592315644</v>
      </c>
      <c r="CL73" s="123">
        <v>0.7812</v>
      </c>
      <c r="CM73" s="123">
        <v>78.12</v>
      </c>
      <c r="CN73" s="123">
        <v>0.3014</v>
      </c>
      <c r="CO73" s="123">
        <v>30.14</v>
      </c>
      <c r="CP73" s="123">
        <v>60.58</v>
      </c>
      <c r="CQ73" s="123"/>
      <c r="CR73" s="123">
        <v>58.0492398078911</v>
      </c>
      <c r="CS73" s="123">
        <v>63.2760518737798</v>
      </c>
      <c r="CT73" s="186"/>
      <c r="CU73" s="186"/>
      <c r="CV73" s="186"/>
      <c r="CW73" s="186">
        <v>1</v>
      </c>
      <c r="CX73" s="143">
        <v>100</v>
      </c>
      <c r="CY73" s="180">
        <v>1</v>
      </c>
      <c r="CZ73" s="143">
        <v>100</v>
      </c>
      <c r="DA73" s="180">
        <v>1</v>
      </c>
      <c r="DB73" s="143">
        <v>100</v>
      </c>
      <c r="DC73" s="181">
        <v>1</v>
      </c>
      <c r="DD73" s="123">
        <v>100</v>
      </c>
      <c r="DE73" s="126"/>
      <c r="DF73" s="123">
        <v>0</v>
      </c>
      <c r="DG73" s="144">
        <v>0</v>
      </c>
      <c r="DH73" s="144">
        <v>0</v>
      </c>
      <c r="DI73" s="123">
        <v>0</v>
      </c>
      <c r="DJ73" s="143">
        <v>0</v>
      </c>
      <c r="DK73" s="123"/>
      <c r="DL73" s="123">
        <v>0</v>
      </c>
      <c r="DM73" s="123">
        <v>0</v>
      </c>
      <c r="DN73" s="123"/>
      <c r="DO73" s="123">
        <v>0</v>
      </c>
      <c r="DP73" s="143">
        <v>0</v>
      </c>
      <c r="DQ73" s="123"/>
      <c r="DR73" s="123">
        <v>0</v>
      </c>
      <c r="DS73" s="145"/>
      <c r="DT73" s="143">
        <v>0</v>
      </c>
      <c r="DU73" s="123">
        <v>0</v>
      </c>
      <c r="DV73" s="146">
        <v>0</v>
      </c>
      <c r="DW73" s="190">
        <v>0</v>
      </c>
      <c r="DX73" s="147">
        <v>0</v>
      </c>
      <c r="DY73" s="147">
        <v>0</v>
      </c>
      <c r="DZ73" s="157">
        <v>3</v>
      </c>
      <c r="EA73" s="126"/>
      <c r="EB73" s="126"/>
      <c r="EC73" s="123">
        <v>0</v>
      </c>
      <c r="ED73" s="123">
        <v>0</v>
      </c>
      <c r="EE73" s="123"/>
      <c r="EF73" s="123"/>
      <c r="EG73" s="123"/>
      <c r="EH73" s="123"/>
      <c r="EI73" s="123"/>
      <c r="EJ73" s="123"/>
      <c r="EK73" s="123"/>
      <c r="EL73" s="123"/>
      <c r="EM73" s="150"/>
      <c r="EN73" s="150"/>
      <c r="EO73" s="150"/>
      <c r="EP73" s="150"/>
      <c r="EQ73" s="216" t="s">
        <v>566</v>
      </c>
      <c r="ER73" s="123">
        <v>69.3555555555556</v>
      </c>
      <c r="ES73" s="123"/>
      <c r="ET73" s="123"/>
      <c r="EU73" s="123"/>
      <c r="EV73" s="123"/>
      <c r="EW73" s="123"/>
      <c r="EX73" s="123"/>
      <c r="EY73" s="123"/>
      <c r="EZ73" s="123"/>
      <c r="FA73" s="123"/>
      <c r="FB73" s="123"/>
      <c r="FC73" s="123"/>
      <c r="FD73" s="123"/>
      <c r="FE73" s="123"/>
      <c r="FF73" s="123"/>
      <c r="FG73" s="123"/>
      <c r="FH73" s="123"/>
      <c r="FI73" s="123"/>
      <c r="FJ73" s="123"/>
      <c r="FK73" s="123"/>
      <c r="FL73" s="123"/>
      <c r="FM73" s="123"/>
      <c r="FN73" s="123"/>
      <c r="FO73" s="123"/>
      <c r="FP73" s="123"/>
      <c r="FQ73" s="123"/>
      <c r="FR73" s="123"/>
      <c r="FS73" s="123"/>
      <c r="FT73" s="123"/>
      <c r="FU73" s="150"/>
      <c r="FV73" s="123"/>
      <c r="FW73" s="123"/>
      <c r="FX73" s="151"/>
      <c r="FY73" s="151"/>
      <c r="FZ73" s="151"/>
      <c r="GA73" s="151">
        <v>7.4</v>
      </c>
      <c r="GB73" s="123">
        <v>0.135135135135135</v>
      </c>
      <c r="GC73" s="123"/>
      <c r="GD73" s="123">
        <v>13.5135135135135</v>
      </c>
      <c r="GE73" s="123">
        <v>1</v>
      </c>
      <c r="GF73" s="123">
        <v>1</v>
      </c>
      <c r="GG73" s="126">
        <v>100</v>
      </c>
      <c r="HA73" s="123">
        <v>3</v>
      </c>
      <c r="HF73" s="123">
        <v>2</v>
      </c>
    </row>
    <row r="74" s="123" customFormat="1" ht="15" spans="1:219">
      <c r="A74" s="137" t="s">
        <v>567</v>
      </c>
      <c r="B74" s="185" t="s">
        <v>568</v>
      </c>
      <c r="C74" s="185" t="s">
        <v>568</v>
      </c>
      <c r="D74" s="138"/>
      <c r="E74" s="139" t="s">
        <v>325</v>
      </c>
      <c r="F74" s="138"/>
      <c r="G74" s="140"/>
      <c r="H74" s="141">
        <v>527799</v>
      </c>
      <c r="I74" s="142">
        <v>1.30446355749981</v>
      </c>
      <c r="J74" s="139">
        <v>6975146349.42592</v>
      </c>
      <c r="K74" s="126">
        <v>1</v>
      </c>
      <c r="L74" s="123">
        <v>0</v>
      </c>
      <c r="M74" s="123">
        <v>0</v>
      </c>
      <c r="N74" s="123"/>
      <c r="O74" s="123"/>
      <c r="P74" s="123"/>
      <c r="Q74" s="123"/>
      <c r="R74" s="123">
        <v>0</v>
      </c>
      <c r="S74" s="123"/>
      <c r="T74" s="123"/>
      <c r="U74" s="123"/>
      <c r="V74" s="123"/>
      <c r="W74" s="123">
        <v>0</v>
      </c>
      <c r="X74" s="123"/>
      <c r="Y74" s="123"/>
      <c r="Z74" s="123"/>
      <c r="AA74" s="123"/>
      <c r="AB74" s="123">
        <v>0</v>
      </c>
      <c r="AC74" s="150"/>
      <c r="AD74" s="150"/>
      <c r="AE74" s="150"/>
      <c r="AF74" s="150"/>
      <c r="AG74" s="150"/>
      <c r="AH74" s="150"/>
      <c r="AI74" s="150">
        <v>2</v>
      </c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  <c r="AU74" s="123"/>
      <c r="AV74" s="123"/>
      <c r="AW74" s="123"/>
      <c r="AX74" s="123"/>
      <c r="AY74" s="123"/>
      <c r="AZ74" s="123"/>
      <c r="BA74" s="123"/>
      <c r="BB74" s="123"/>
      <c r="BC74" s="123"/>
      <c r="BD74" s="123"/>
      <c r="BE74" s="123"/>
      <c r="BF74" s="123"/>
      <c r="BG74" s="123"/>
      <c r="BH74" s="123"/>
      <c r="BI74" s="123"/>
      <c r="BJ74" s="123"/>
      <c r="BK74" s="123"/>
      <c r="BL74" s="123"/>
      <c r="BM74" s="123">
        <v>0</v>
      </c>
      <c r="BN74" s="150">
        <v>0</v>
      </c>
      <c r="BO74" s="150">
        <v>0</v>
      </c>
      <c r="BP74" s="123">
        <v>0</v>
      </c>
      <c r="BQ74" s="123">
        <v>0</v>
      </c>
      <c r="BR74" s="123">
        <f t="shared" si="2"/>
        <v>0</v>
      </c>
      <c r="BZ74" s="123">
        <v>41.18</v>
      </c>
      <c r="CA74" s="123">
        <v>62.56</v>
      </c>
      <c r="CB74" s="123">
        <v>45.28</v>
      </c>
      <c r="CC74" s="123">
        <v>26.42</v>
      </c>
      <c r="CD74" s="123">
        <v>50.94</v>
      </c>
      <c r="CE74" s="123">
        <v>39.62</v>
      </c>
      <c r="CF74" s="139">
        <v>44.3333333333333</v>
      </c>
      <c r="CG74" s="123">
        <v>0.766</v>
      </c>
      <c r="CH74" s="123">
        <v>76.6</v>
      </c>
      <c r="CI74" s="123">
        <v>60.4666666666666</v>
      </c>
      <c r="CJ74" s="123">
        <v>0.405788376350469</v>
      </c>
      <c r="CK74" s="123">
        <v>40.5788376350469</v>
      </c>
      <c r="CL74" s="123">
        <v>0.67453</v>
      </c>
      <c r="CM74" s="123">
        <v>67.453</v>
      </c>
      <c r="CN74" s="123">
        <v>0.4795</v>
      </c>
      <c r="CO74" s="123">
        <v>47.95</v>
      </c>
      <c r="CP74" s="123">
        <v>14.82</v>
      </c>
      <c r="CQ74" s="123"/>
      <c r="CR74" s="123">
        <v>42.7004594087617</v>
      </c>
      <c r="CS74" s="123">
        <v>73.9649487556561</v>
      </c>
      <c r="CT74" s="186"/>
      <c r="CU74" s="186"/>
      <c r="CV74" s="186"/>
      <c r="CW74" s="186">
        <v>1</v>
      </c>
      <c r="CX74" s="143">
        <v>100</v>
      </c>
      <c r="CY74" s="180">
        <v>1</v>
      </c>
      <c r="CZ74" s="143">
        <v>100</v>
      </c>
      <c r="DA74" s="180">
        <v>1</v>
      </c>
      <c r="DB74" s="143">
        <v>100</v>
      </c>
      <c r="DC74" s="181">
        <v>1</v>
      </c>
      <c r="DD74" s="123">
        <v>100</v>
      </c>
      <c r="DE74" s="126"/>
      <c r="DF74" s="123">
        <v>0</v>
      </c>
      <c r="DG74" s="144">
        <v>0</v>
      </c>
      <c r="DH74" s="144">
        <v>0</v>
      </c>
      <c r="DI74" s="123">
        <v>0</v>
      </c>
      <c r="DJ74" s="143">
        <v>0</v>
      </c>
      <c r="DK74" s="123"/>
      <c r="DL74" s="123">
        <v>0</v>
      </c>
      <c r="DM74" s="123">
        <v>0</v>
      </c>
      <c r="DN74" s="123"/>
      <c r="DO74" s="123">
        <v>0</v>
      </c>
      <c r="DP74" s="143">
        <v>0</v>
      </c>
      <c r="DQ74" s="123"/>
      <c r="DR74" s="123">
        <v>0</v>
      </c>
      <c r="DS74" s="145"/>
      <c r="DT74" s="143">
        <v>0</v>
      </c>
      <c r="DU74" s="123">
        <v>0</v>
      </c>
      <c r="DV74" s="146">
        <v>0</v>
      </c>
      <c r="DW74" s="187">
        <v>0</v>
      </c>
      <c r="DX74" s="147">
        <v>0</v>
      </c>
      <c r="DY74" s="147">
        <v>0</v>
      </c>
      <c r="DZ74" s="157">
        <v>2</v>
      </c>
      <c r="EA74" s="126"/>
      <c r="EB74" s="126"/>
      <c r="EC74" s="123">
        <v>0</v>
      </c>
      <c r="ED74" s="123">
        <v>0</v>
      </c>
      <c r="EE74" s="123"/>
      <c r="EF74" s="123"/>
      <c r="EG74" s="123"/>
      <c r="EH74" s="123"/>
      <c r="EI74" s="123"/>
      <c r="EJ74" s="123"/>
      <c r="EK74" s="123"/>
      <c r="EL74" s="123"/>
      <c r="EM74" s="150"/>
      <c r="EN74" s="150"/>
      <c r="EO74" s="150"/>
      <c r="EP74" s="150"/>
      <c r="EQ74" s="216" t="s">
        <v>569</v>
      </c>
      <c r="ER74" s="123">
        <v>23.9333333333333</v>
      </c>
      <c r="ES74" s="123"/>
      <c r="ET74" s="123"/>
      <c r="EU74" s="123"/>
      <c r="EV74" s="123"/>
      <c r="EW74" s="123"/>
      <c r="EX74" s="123"/>
      <c r="EY74" s="123"/>
      <c r="EZ74" s="123"/>
      <c r="FA74" s="123"/>
      <c r="FB74" s="123"/>
      <c r="FC74" s="123"/>
      <c r="FD74" s="123"/>
      <c r="FE74" s="123"/>
      <c r="FF74" s="123"/>
      <c r="FG74" s="123"/>
      <c r="FH74" s="123"/>
      <c r="FI74" s="123"/>
      <c r="FJ74" s="123"/>
      <c r="FK74" s="123"/>
      <c r="FL74" s="123"/>
      <c r="FM74" s="123"/>
      <c r="FN74" s="123"/>
      <c r="FO74" s="123"/>
      <c r="FP74" s="123"/>
      <c r="FQ74" s="123"/>
      <c r="FR74" s="123"/>
      <c r="FS74" s="123"/>
      <c r="FT74" s="123"/>
      <c r="FU74" s="150"/>
      <c r="FV74" s="123"/>
      <c r="FW74" s="123"/>
      <c r="FX74" s="151"/>
      <c r="FY74" s="151"/>
      <c r="FZ74" s="151"/>
      <c r="GA74" s="151"/>
      <c r="GB74" s="123"/>
      <c r="GC74" s="123"/>
      <c r="GD74" s="123"/>
      <c r="GE74" s="123">
        <v>0.987</v>
      </c>
      <c r="GF74" s="123">
        <v>1</v>
      </c>
      <c r="GG74" s="126">
        <v>99.35</v>
      </c>
      <c r="GV74" s="123">
        <v>1</v>
      </c>
    </row>
    <row r="75" s="123" customFormat="1" ht="15" spans="1:219">
      <c r="A75" s="137" t="s">
        <v>570</v>
      </c>
      <c r="B75" s="185" t="s">
        <v>571</v>
      </c>
      <c r="C75" s="185" t="s">
        <v>571</v>
      </c>
      <c r="D75" s="138"/>
      <c r="E75" s="139" t="s">
        <v>337</v>
      </c>
      <c r="F75" s="138"/>
      <c r="G75" s="140"/>
      <c r="H75" s="141">
        <v>54500091</v>
      </c>
      <c r="I75" s="142">
        <v>134.697834952176</v>
      </c>
      <c r="J75" s="139">
        <v>74079772652.4286</v>
      </c>
      <c r="K75" s="126">
        <v>10.6205330958433</v>
      </c>
      <c r="L75" s="123">
        <v>2</v>
      </c>
      <c r="M75" s="123">
        <v>2</v>
      </c>
      <c r="N75" s="123"/>
      <c r="O75" s="123"/>
      <c r="P75" s="123"/>
      <c r="Q75" s="123"/>
      <c r="R75" s="123">
        <v>2</v>
      </c>
      <c r="S75" s="123"/>
      <c r="T75" s="123"/>
      <c r="U75" s="123"/>
      <c r="V75" s="123"/>
      <c r="W75" s="123">
        <v>0</v>
      </c>
      <c r="X75" s="123"/>
      <c r="Y75" s="123"/>
      <c r="Z75" s="123"/>
      <c r="AA75" s="123"/>
      <c r="AB75" s="123">
        <v>0</v>
      </c>
      <c r="AC75" s="123"/>
      <c r="AD75" s="123"/>
      <c r="AE75" s="123"/>
      <c r="AF75" s="123"/>
      <c r="AG75" s="123"/>
      <c r="AH75" s="123"/>
      <c r="AI75" s="123">
        <v>5</v>
      </c>
      <c r="AJ75" s="123"/>
      <c r="AK75" s="123"/>
      <c r="AL75" s="123"/>
      <c r="AM75" s="123"/>
      <c r="AN75" s="123"/>
      <c r="AO75" s="123"/>
      <c r="AP75" s="123"/>
      <c r="AQ75" s="123"/>
      <c r="AR75" s="123"/>
      <c r="AS75" s="123"/>
      <c r="AT75" s="123"/>
      <c r="AU75" s="123"/>
      <c r="AV75" s="123"/>
      <c r="AW75" s="123"/>
      <c r="AX75" s="123"/>
      <c r="AY75" s="123"/>
      <c r="AZ75" s="123"/>
      <c r="BA75" s="123"/>
      <c r="BB75" s="123"/>
      <c r="BC75" s="123"/>
      <c r="BD75" s="123"/>
      <c r="BE75" s="123"/>
      <c r="BF75" s="123"/>
      <c r="BG75" s="123"/>
      <c r="BH75" s="123"/>
      <c r="BI75" s="123"/>
      <c r="BJ75" s="123"/>
      <c r="BK75" s="123"/>
      <c r="BL75" s="123"/>
      <c r="BM75" s="123">
        <v>0</v>
      </c>
      <c r="BN75" s="123">
        <v>7</v>
      </c>
      <c r="BO75" s="123">
        <v>1</v>
      </c>
      <c r="BP75" s="123">
        <v>5</v>
      </c>
      <c r="BQ75" s="123">
        <v>0</v>
      </c>
      <c r="BR75" s="123">
        <f t="shared" si="2"/>
        <v>12</v>
      </c>
      <c r="BZ75" s="123">
        <v>2.45</v>
      </c>
      <c r="CA75" s="123">
        <v>4.74</v>
      </c>
      <c r="CB75" s="123">
        <v>3.77</v>
      </c>
      <c r="CC75" s="123">
        <v>7.08</v>
      </c>
      <c r="CD75" s="123">
        <v>6.13</v>
      </c>
      <c r="CE75" s="123">
        <v>11.79</v>
      </c>
      <c r="CF75" s="139">
        <v>5.99333333333333</v>
      </c>
      <c r="CG75" s="123">
        <v>0.609</v>
      </c>
      <c r="CH75" s="123">
        <v>60.9</v>
      </c>
      <c r="CI75" s="123">
        <v>33.4466666666667</v>
      </c>
      <c r="CJ75" s="123">
        <v>0.21965663202105</v>
      </c>
      <c r="CK75" s="123">
        <v>21.965663202105</v>
      </c>
      <c r="CL75" s="123">
        <v>0.50007</v>
      </c>
      <c r="CM75" s="123">
        <v>50.007</v>
      </c>
      <c r="CN75" s="123">
        <v>0.1644</v>
      </c>
      <c r="CO75" s="123">
        <v>16.44</v>
      </c>
      <c r="CP75" s="123">
        <v>73.72</v>
      </c>
      <c r="CQ75" s="123"/>
      <c r="CR75" s="123">
        <v>40.5331658005262</v>
      </c>
      <c r="CS75" s="123">
        <v>63.5596921144215</v>
      </c>
      <c r="CT75" s="186"/>
      <c r="CU75" s="186"/>
      <c r="CV75" s="186"/>
      <c r="CW75" s="186">
        <v>1</v>
      </c>
      <c r="CX75" s="143">
        <v>100</v>
      </c>
      <c r="CY75" s="180">
        <v>1</v>
      </c>
      <c r="CZ75" s="143">
        <v>100</v>
      </c>
      <c r="DA75" s="180">
        <v>1</v>
      </c>
      <c r="DB75" s="143">
        <v>100</v>
      </c>
      <c r="DC75" s="181">
        <v>1</v>
      </c>
      <c r="DD75" s="123">
        <v>100</v>
      </c>
      <c r="DE75" s="126"/>
      <c r="DF75" s="123">
        <v>0</v>
      </c>
      <c r="DG75" s="144">
        <v>0</v>
      </c>
      <c r="DH75" s="144">
        <v>0</v>
      </c>
      <c r="DI75" s="123">
        <v>0</v>
      </c>
      <c r="DJ75" s="143">
        <v>0</v>
      </c>
      <c r="DK75" s="123"/>
      <c r="DL75" s="123">
        <v>0</v>
      </c>
      <c r="DM75" s="123">
        <v>0</v>
      </c>
      <c r="DN75" s="123"/>
      <c r="DO75" s="123">
        <v>0</v>
      </c>
      <c r="DP75" s="143">
        <v>0</v>
      </c>
      <c r="DQ75" s="123"/>
      <c r="DR75" s="123">
        <v>0</v>
      </c>
      <c r="DS75" s="145"/>
      <c r="DT75" s="143">
        <v>0</v>
      </c>
      <c r="DU75" s="123">
        <v>0</v>
      </c>
      <c r="DV75" s="146">
        <v>0</v>
      </c>
      <c r="DW75" s="187">
        <v>0</v>
      </c>
      <c r="DX75" s="147">
        <v>0</v>
      </c>
      <c r="DY75" s="147">
        <v>0</v>
      </c>
      <c r="DZ75" s="157">
        <v>2</v>
      </c>
      <c r="EA75" s="126"/>
      <c r="EB75" s="126"/>
      <c r="EC75" s="123">
        <v>0</v>
      </c>
      <c r="ED75" s="123">
        <v>0</v>
      </c>
      <c r="EE75" s="123"/>
      <c r="EF75" s="123"/>
      <c r="EG75" s="123"/>
      <c r="EH75" s="123"/>
      <c r="EI75" s="123"/>
      <c r="EJ75" s="123"/>
      <c r="EK75" s="123"/>
      <c r="EL75" s="123"/>
      <c r="EM75" s="150"/>
      <c r="EN75" s="150"/>
      <c r="EO75" s="150"/>
      <c r="EP75" s="150"/>
      <c r="EQ75" s="216" t="s">
        <v>572</v>
      </c>
      <c r="ER75" s="123">
        <v>58.2444444444444</v>
      </c>
      <c r="ES75" s="123"/>
      <c r="ET75" s="123"/>
      <c r="EU75" s="123"/>
      <c r="EV75" s="123"/>
      <c r="EW75" s="123"/>
      <c r="EX75" s="123"/>
      <c r="EY75" s="123"/>
      <c r="EZ75" s="123"/>
      <c r="FA75" s="123"/>
      <c r="FB75" s="123"/>
      <c r="FC75" s="123"/>
      <c r="FD75" s="123"/>
      <c r="FE75" s="123"/>
      <c r="FF75" s="123"/>
      <c r="FG75" s="123"/>
      <c r="FH75" s="123"/>
      <c r="FI75" s="123"/>
      <c r="FJ75" s="123"/>
      <c r="FK75" s="123"/>
      <c r="FL75" s="123"/>
      <c r="FM75" s="123"/>
      <c r="FN75" s="123"/>
      <c r="FO75" s="123"/>
      <c r="FP75" s="123"/>
      <c r="FQ75" s="123"/>
      <c r="FR75" s="123"/>
      <c r="FS75" s="123"/>
      <c r="FT75" s="123"/>
      <c r="FU75" s="150"/>
      <c r="FV75" s="123"/>
      <c r="FW75" s="123"/>
      <c r="FX75" s="151"/>
      <c r="FY75" s="151"/>
      <c r="FZ75" s="151"/>
      <c r="GA75" s="151">
        <v>0</v>
      </c>
      <c r="GB75" s="123"/>
      <c r="GC75" s="123"/>
      <c r="GD75" s="123"/>
      <c r="GE75" s="123">
        <v>0.867</v>
      </c>
      <c r="GF75" s="123">
        <v>0.935</v>
      </c>
      <c r="GG75" s="126">
        <v>90.1</v>
      </c>
      <c r="HA75" s="123">
        <v>1</v>
      </c>
    </row>
    <row r="76" s="123" customFormat="1" ht="15" spans="1:219">
      <c r="A76" s="137" t="s">
        <v>573</v>
      </c>
      <c r="B76" s="185" t="s">
        <v>574</v>
      </c>
      <c r="C76" s="185" t="s">
        <v>574</v>
      </c>
      <c r="D76" s="138"/>
      <c r="E76" s="139" t="s">
        <v>337</v>
      </c>
      <c r="F76" s="138"/>
      <c r="G76" s="140"/>
      <c r="H76" s="141">
        <v>29651054</v>
      </c>
      <c r="I76" s="142">
        <v>73.2830478732607</v>
      </c>
      <c r="J76" s="139">
        <v>42914268286.7109</v>
      </c>
      <c r="K76" s="126">
        <v>6.15245417613967</v>
      </c>
      <c r="L76" s="123">
        <v>2</v>
      </c>
      <c r="M76" s="123">
        <v>2</v>
      </c>
      <c r="N76" s="123"/>
      <c r="O76" s="123"/>
      <c r="P76" s="123"/>
      <c r="Q76" s="123"/>
      <c r="R76" s="123">
        <v>3</v>
      </c>
      <c r="S76" s="123"/>
      <c r="T76" s="123"/>
      <c r="U76" s="123"/>
      <c r="V76" s="123"/>
      <c r="W76" s="123">
        <v>0</v>
      </c>
      <c r="X76" s="123"/>
      <c r="Y76" s="123"/>
      <c r="Z76" s="123"/>
      <c r="AA76" s="123"/>
      <c r="AB76" s="123">
        <v>0</v>
      </c>
      <c r="AC76" s="123"/>
      <c r="AD76" s="123"/>
      <c r="AE76" s="123"/>
      <c r="AF76" s="123"/>
      <c r="AG76" s="123"/>
      <c r="AH76" s="123"/>
      <c r="AI76" s="123">
        <v>9</v>
      </c>
      <c r="AJ76" s="123"/>
      <c r="AK76" s="123"/>
      <c r="AL76" s="123"/>
      <c r="AM76" s="123"/>
      <c r="AN76" s="123"/>
      <c r="AO76" s="123"/>
      <c r="AP76" s="123"/>
      <c r="AQ76" s="123"/>
      <c r="AR76" s="123"/>
      <c r="AS76" s="123"/>
      <c r="AT76" s="123"/>
      <c r="AU76" s="123"/>
      <c r="AV76" s="123"/>
      <c r="AW76" s="123"/>
      <c r="AX76" s="123"/>
      <c r="AY76" s="123"/>
      <c r="AZ76" s="123"/>
      <c r="BA76" s="123"/>
      <c r="BB76" s="123"/>
      <c r="BC76" s="123"/>
      <c r="BD76" s="123"/>
      <c r="BE76" s="123"/>
      <c r="BF76" s="123"/>
      <c r="BG76" s="123"/>
      <c r="BH76" s="123"/>
      <c r="BI76" s="123"/>
      <c r="BJ76" s="123"/>
      <c r="BK76" s="123"/>
      <c r="BL76" s="123"/>
      <c r="BM76" s="123">
        <v>0</v>
      </c>
      <c r="BN76" s="150">
        <v>0</v>
      </c>
      <c r="BO76" s="123">
        <v>1</v>
      </c>
      <c r="BP76" s="123">
        <v>1</v>
      </c>
      <c r="BQ76" s="123">
        <v>0</v>
      </c>
      <c r="BR76" s="123">
        <f t="shared" si="2"/>
        <v>1</v>
      </c>
      <c r="BZ76" s="123">
        <v>46.08</v>
      </c>
      <c r="CA76" s="123">
        <v>39.34</v>
      </c>
      <c r="CB76" s="123">
        <v>21.7</v>
      </c>
      <c r="CC76" s="123">
        <v>27.36</v>
      </c>
      <c r="CD76" s="123">
        <v>34.91</v>
      </c>
      <c r="CE76" s="123">
        <v>33.96</v>
      </c>
      <c r="CF76" s="139">
        <v>33.8916666666667</v>
      </c>
      <c r="CG76" s="123">
        <v>0.622</v>
      </c>
      <c r="CH76" s="123">
        <v>62.2</v>
      </c>
      <c r="CI76" s="123">
        <v>48.0458333333333</v>
      </c>
      <c r="CJ76" s="123">
        <v>0.43904698140252</v>
      </c>
      <c r="CK76" s="123">
        <v>43.904698140252</v>
      </c>
      <c r="CL76" s="123">
        <v>0.57813</v>
      </c>
      <c r="CM76" s="123">
        <v>57.813</v>
      </c>
      <c r="CN76" s="123">
        <v>0.2192</v>
      </c>
      <c r="CO76" s="123">
        <v>21.92</v>
      </c>
      <c r="CP76" s="123">
        <v>51.76</v>
      </c>
      <c r="CQ76" s="123"/>
      <c r="CR76" s="123">
        <v>43.849424535063</v>
      </c>
      <c r="CS76" s="123">
        <v>68.5783274955437</v>
      </c>
      <c r="CT76" s="186"/>
      <c r="CU76" s="186"/>
      <c r="CV76" s="186"/>
      <c r="CW76" s="186">
        <v>0</v>
      </c>
      <c r="CX76" s="143">
        <v>0</v>
      </c>
      <c r="CY76" s="180">
        <v>0</v>
      </c>
      <c r="CZ76" s="143">
        <v>0</v>
      </c>
      <c r="DA76" s="180">
        <v>0</v>
      </c>
      <c r="DB76" s="143">
        <v>0</v>
      </c>
      <c r="DC76" s="181">
        <v>0</v>
      </c>
      <c r="DD76" s="123">
        <v>0</v>
      </c>
      <c r="DE76" s="126"/>
      <c r="DF76" s="123">
        <v>0</v>
      </c>
      <c r="DG76" s="144">
        <v>0</v>
      </c>
      <c r="DH76" s="144">
        <v>0</v>
      </c>
      <c r="DI76" s="123">
        <v>0</v>
      </c>
      <c r="DJ76" s="143">
        <v>0</v>
      </c>
      <c r="DK76" s="123"/>
      <c r="DL76" s="123">
        <v>0</v>
      </c>
      <c r="DM76" s="123">
        <v>0</v>
      </c>
      <c r="DN76" s="123"/>
      <c r="DO76" s="123">
        <v>0</v>
      </c>
      <c r="DP76" s="143">
        <v>0</v>
      </c>
      <c r="DQ76" s="123"/>
      <c r="DR76" s="123">
        <v>0</v>
      </c>
      <c r="DS76" s="145"/>
      <c r="DT76" s="143">
        <v>0</v>
      </c>
      <c r="DU76" s="123">
        <v>0</v>
      </c>
      <c r="DV76" s="146">
        <v>0</v>
      </c>
      <c r="DW76" s="187">
        <v>0</v>
      </c>
      <c r="DX76" s="147">
        <v>0</v>
      </c>
      <c r="DY76" s="147">
        <v>0</v>
      </c>
      <c r="DZ76" s="157">
        <v>2</v>
      </c>
      <c r="EA76" s="126"/>
      <c r="EB76" s="126"/>
      <c r="EC76" s="123">
        <v>0</v>
      </c>
      <c r="ED76" s="123">
        <v>0</v>
      </c>
      <c r="EE76" s="123"/>
      <c r="EF76" s="123"/>
      <c r="EG76" s="123"/>
      <c r="EH76" s="123"/>
      <c r="EI76" s="123"/>
      <c r="EJ76" s="123"/>
      <c r="EK76" s="123"/>
      <c r="EL76" s="123"/>
      <c r="EM76" s="150"/>
      <c r="EN76" s="150"/>
      <c r="EO76" s="150"/>
      <c r="EP76" s="150"/>
      <c r="EQ76" s="216" t="s">
        <v>575</v>
      </c>
      <c r="ER76" s="123">
        <v>72.9111111111111</v>
      </c>
      <c r="ES76" s="123"/>
      <c r="ET76" s="123"/>
      <c r="EU76" s="123"/>
      <c r="EV76" s="123"/>
      <c r="EW76" s="123"/>
      <c r="EX76" s="123"/>
      <c r="EY76" s="123"/>
      <c r="EZ76" s="123"/>
      <c r="FA76" s="123"/>
      <c r="FB76" s="123"/>
      <c r="FC76" s="123"/>
      <c r="FD76" s="123"/>
      <c r="FE76" s="123"/>
      <c r="FF76" s="123"/>
      <c r="FG76" s="123"/>
      <c r="FH76" s="123"/>
      <c r="FI76" s="123"/>
      <c r="FJ76" s="123"/>
      <c r="FK76" s="123"/>
      <c r="FL76" s="123"/>
      <c r="FM76" s="123"/>
      <c r="FN76" s="123"/>
      <c r="FO76" s="123"/>
      <c r="FP76" s="123"/>
      <c r="FQ76" s="123"/>
      <c r="FR76" s="123"/>
      <c r="FS76" s="123"/>
      <c r="FT76" s="123"/>
      <c r="FU76" s="150"/>
      <c r="FV76" s="123"/>
      <c r="FW76" s="123"/>
      <c r="FX76" s="151"/>
      <c r="FY76" s="151"/>
      <c r="FZ76" s="151"/>
      <c r="GA76" s="151">
        <v>3</v>
      </c>
      <c r="GB76" s="123">
        <v>0.333333333333333</v>
      </c>
      <c r="GC76" s="123"/>
      <c r="GD76" s="123">
        <v>33.3333333333333</v>
      </c>
      <c r="GE76" s="123">
        <v>0.883</v>
      </c>
      <c r="GF76" s="123">
        <v>0.949</v>
      </c>
      <c r="GG76" s="126">
        <v>91.6</v>
      </c>
      <c r="GV76" s="123">
        <v>212</v>
      </c>
    </row>
    <row r="77" s="123" customFormat="1" ht="15" spans="1:219">
      <c r="A77" s="137" t="s">
        <v>576</v>
      </c>
      <c r="B77" s="185" t="s">
        <v>577</v>
      </c>
      <c r="C77" s="185" t="s">
        <v>577</v>
      </c>
      <c r="D77" s="138"/>
      <c r="E77" s="139" t="s">
        <v>293</v>
      </c>
      <c r="F77" s="138"/>
      <c r="G77" s="140"/>
      <c r="H77" s="141">
        <v>2857822</v>
      </c>
      <c r="I77" s="142">
        <v>7.06315217122661</v>
      </c>
      <c r="J77" s="139">
        <v>217982967032.967</v>
      </c>
      <c r="K77" s="126">
        <v>31.2513825678952</v>
      </c>
      <c r="L77" s="123">
        <v>362</v>
      </c>
      <c r="M77" s="123">
        <v>362</v>
      </c>
      <c r="N77" s="123"/>
      <c r="O77" s="123"/>
      <c r="P77" s="123"/>
      <c r="Q77" s="123"/>
      <c r="R77" s="123">
        <v>497</v>
      </c>
      <c r="S77" s="123"/>
      <c r="T77" s="123"/>
      <c r="U77" s="123"/>
      <c r="V77" s="123"/>
      <c r="W77" s="123">
        <v>0</v>
      </c>
      <c r="X77" s="123"/>
      <c r="Y77" s="123"/>
      <c r="Z77" s="123"/>
      <c r="AA77" s="123"/>
      <c r="AB77" s="123">
        <v>0</v>
      </c>
      <c r="AC77" s="153"/>
      <c r="AD77" s="153"/>
      <c r="AE77" s="153"/>
      <c r="AF77" s="153"/>
      <c r="AG77" s="153"/>
      <c r="AH77" s="153"/>
      <c r="AI77" s="153">
        <v>11</v>
      </c>
      <c r="AJ77" s="126"/>
      <c r="AK77" s="126"/>
      <c r="AL77" s="126"/>
      <c r="AM77" s="126"/>
      <c r="AN77" s="123"/>
      <c r="AO77" s="123"/>
      <c r="AP77" s="123"/>
      <c r="AQ77" s="123"/>
      <c r="AR77" s="123"/>
      <c r="AS77" s="123"/>
      <c r="AT77" s="123"/>
      <c r="AU77" s="123"/>
      <c r="AV77" s="123"/>
      <c r="AW77" s="123"/>
      <c r="AX77" s="123"/>
      <c r="AY77" s="123"/>
      <c r="AZ77" s="123"/>
      <c r="BA77" s="123"/>
      <c r="BB77" s="123"/>
      <c r="BC77" s="123"/>
      <c r="BD77" s="123"/>
      <c r="BE77" s="123"/>
      <c r="BF77" s="123"/>
      <c r="BG77" s="123"/>
      <c r="BH77" s="123"/>
      <c r="BI77" s="123"/>
      <c r="BJ77" s="123"/>
      <c r="BK77" s="123"/>
      <c r="BL77" s="123"/>
      <c r="BM77" s="123">
        <v>0</v>
      </c>
      <c r="BN77" s="150">
        <v>0</v>
      </c>
      <c r="BO77" s="150">
        <v>0</v>
      </c>
      <c r="BP77" s="123">
        <v>2</v>
      </c>
      <c r="BQ77" s="123">
        <v>0</v>
      </c>
      <c r="BR77" s="123">
        <f t="shared" si="2"/>
        <v>2</v>
      </c>
      <c r="BZ77" s="123">
        <v>22.55</v>
      </c>
      <c r="CA77" s="123">
        <v>84.36</v>
      </c>
      <c r="CB77" s="123">
        <v>85.85</v>
      </c>
      <c r="CC77" s="123">
        <v>81.13</v>
      </c>
      <c r="CD77" s="123">
        <v>80.19</v>
      </c>
      <c r="CE77" s="123">
        <v>75</v>
      </c>
      <c r="CF77" s="139">
        <v>71.5133333333333</v>
      </c>
      <c r="CG77" s="123">
        <v>0.886</v>
      </c>
      <c r="CH77" s="123">
        <v>88.6</v>
      </c>
      <c r="CI77" s="123">
        <v>80.0566666666666</v>
      </c>
      <c r="CJ77" s="123">
        <v>0.874284154311184</v>
      </c>
      <c r="CK77" s="123">
        <v>87.4284154311184</v>
      </c>
      <c r="CL77" s="123">
        <v>0.82438</v>
      </c>
      <c r="CM77" s="123">
        <v>82.438</v>
      </c>
      <c r="CN77" s="123">
        <v>0.4795</v>
      </c>
      <c r="CO77" s="123">
        <v>47.95</v>
      </c>
      <c r="CP77" s="123">
        <v>100</v>
      </c>
      <c r="CQ77" s="123"/>
      <c r="CR77" s="123">
        <v>79.4541038577796</v>
      </c>
      <c r="CS77" s="123">
        <v>65.0890157096172</v>
      </c>
      <c r="CT77" s="186"/>
      <c r="CU77" s="186"/>
      <c r="CV77" s="186"/>
      <c r="CW77" s="186">
        <v>1</v>
      </c>
      <c r="CX77" s="143">
        <v>100</v>
      </c>
      <c r="CY77" s="180">
        <v>1</v>
      </c>
      <c r="CZ77" s="143">
        <v>100</v>
      </c>
      <c r="DA77" s="180">
        <v>1</v>
      </c>
      <c r="DB77" s="143">
        <v>100</v>
      </c>
      <c r="DC77" s="181">
        <v>1</v>
      </c>
      <c r="DD77" s="123">
        <v>100</v>
      </c>
      <c r="DE77" s="126"/>
      <c r="DF77" s="123">
        <v>0</v>
      </c>
      <c r="DG77" s="144">
        <v>0</v>
      </c>
      <c r="DH77" s="144">
        <v>0</v>
      </c>
      <c r="DI77" s="123">
        <v>1</v>
      </c>
      <c r="DJ77" s="143">
        <v>100</v>
      </c>
      <c r="DK77" s="123"/>
      <c r="DL77" s="123">
        <v>0</v>
      </c>
      <c r="DM77" s="123">
        <v>0</v>
      </c>
      <c r="DN77" s="123"/>
      <c r="DO77" s="123">
        <v>0</v>
      </c>
      <c r="DP77" s="143">
        <v>0</v>
      </c>
      <c r="DQ77" s="123"/>
      <c r="DR77" s="123">
        <v>0</v>
      </c>
      <c r="DS77" s="145"/>
      <c r="DT77" s="143">
        <v>0</v>
      </c>
      <c r="DU77" s="123">
        <v>0</v>
      </c>
      <c r="DV77" s="146">
        <v>0</v>
      </c>
      <c r="DW77" s="187">
        <v>0</v>
      </c>
      <c r="DX77" s="147">
        <v>0</v>
      </c>
      <c r="DY77" s="147">
        <v>0</v>
      </c>
      <c r="DZ77" s="157">
        <v>3</v>
      </c>
      <c r="EA77" s="126"/>
      <c r="EB77" s="126"/>
      <c r="EC77" s="123">
        <v>0</v>
      </c>
      <c r="ED77" s="123">
        <v>0</v>
      </c>
      <c r="EE77" s="123"/>
      <c r="EF77" s="123"/>
      <c r="EG77" s="123"/>
      <c r="EH77" s="123"/>
      <c r="EI77" s="123"/>
      <c r="EJ77" s="123">
        <v>414</v>
      </c>
      <c r="EK77" s="123"/>
      <c r="EL77" s="123">
        <v>0.2086</v>
      </c>
      <c r="EM77" s="150"/>
      <c r="EN77" s="150"/>
      <c r="EO77" s="150"/>
      <c r="EP77" s="150"/>
      <c r="EQ77" s="216" t="s">
        <v>578</v>
      </c>
      <c r="ER77" s="123">
        <v>71.8666666666667</v>
      </c>
      <c r="ES77" s="123"/>
      <c r="ET77" s="123"/>
      <c r="EU77" s="123"/>
      <c r="EV77" s="123"/>
      <c r="EW77" s="123"/>
      <c r="EX77" s="123"/>
      <c r="EY77" s="123"/>
      <c r="EZ77" s="123"/>
      <c r="FA77" s="123"/>
      <c r="FB77" s="123"/>
      <c r="FC77" s="123"/>
      <c r="FD77" s="123"/>
      <c r="FE77" s="123"/>
      <c r="FF77" s="123"/>
      <c r="FG77" s="123"/>
      <c r="FH77" s="123"/>
      <c r="FI77" s="123"/>
      <c r="FJ77" s="123"/>
      <c r="FK77" s="123"/>
      <c r="FL77" s="123"/>
      <c r="FM77" s="123"/>
      <c r="FN77" s="123"/>
      <c r="FO77" s="123"/>
      <c r="FP77" s="123"/>
      <c r="FQ77" s="123"/>
      <c r="FR77" s="123"/>
      <c r="FS77" s="123"/>
      <c r="FT77" s="123"/>
      <c r="FU77" s="150"/>
      <c r="FV77" s="123"/>
      <c r="FW77" s="123"/>
      <c r="FX77" s="151"/>
      <c r="FY77" s="151"/>
      <c r="FZ77" s="151"/>
      <c r="GA77" s="151">
        <v>4.506849</v>
      </c>
      <c r="GB77" s="123">
        <v>0.221884513991927</v>
      </c>
      <c r="GC77" s="123"/>
      <c r="GD77" s="123">
        <v>22.1884513991927</v>
      </c>
      <c r="GE77" s="123">
        <v>1</v>
      </c>
      <c r="GF77" s="123">
        <v>1</v>
      </c>
      <c r="GG77" s="126">
        <v>100</v>
      </c>
      <c r="GQ77" s="123">
        <v>1</v>
      </c>
      <c r="HA77" s="123">
        <v>45</v>
      </c>
      <c r="HF77" s="123">
        <v>16</v>
      </c>
      <c r="HK77" s="123">
        <v>22</v>
      </c>
    </row>
    <row r="78" s="123" customFormat="1" ht="15" spans="1:219">
      <c r="A78" s="137" t="s">
        <v>579</v>
      </c>
      <c r="B78" s="185" t="s">
        <v>580</v>
      </c>
      <c r="C78" s="185" t="s">
        <v>580</v>
      </c>
      <c r="D78" s="138"/>
      <c r="E78" s="139" t="s">
        <v>337</v>
      </c>
      <c r="F78" s="138"/>
      <c r="G78" s="140"/>
      <c r="H78" s="141">
        <v>21916000</v>
      </c>
      <c r="I78" s="142">
        <v>54.1657398482489</v>
      </c>
      <c r="J78" s="139">
        <v>98963185509.6499</v>
      </c>
      <c r="K78" s="126">
        <v>14.1879726319714</v>
      </c>
      <c r="L78" s="123">
        <v>59</v>
      </c>
      <c r="M78" s="123">
        <v>59</v>
      </c>
      <c r="N78" s="123"/>
      <c r="O78" s="123"/>
      <c r="P78" s="123"/>
      <c r="Q78" s="123"/>
      <c r="R78" s="123">
        <v>66</v>
      </c>
      <c r="S78" s="123"/>
      <c r="T78" s="123"/>
      <c r="U78" s="123"/>
      <c r="V78" s="123"/>
      <c r="W78" s="123">
        <v>0</v>
      </c>
      <c r="X78" s="123"/>
      <c r="Y78" s="123"/>
      <c r="Z78" s="123"/>
      <c r="AA78" s="123"/>
      <c r="AB78" s="123">
        <v>0</v>
      </c>
      <c r="AC78" s="150"/>
      <c r="AD78" s="150"/>
      <c r="AE78" s="150"/>
      <c r="AF78" s="150"/>
      <c r="AG78" s="150"/>
      <c r="AH78" s="150"/>
      <c r="AI78" s="150">
        <v>2</v>
      </c>
      <c r="AJ78" s="123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  <c r="AU78" s="123"/>
      <c r="AV78" s="123"/>
      <c r="AW78" s="123"/>
      <c r="AX78" s="123"/>
      <c r="AY78" s="123"/>
      <c r="AZ78" s="123"/>
      <c r="BA78" s="123"/>
      <c r="BB78" s="123"/>
      <c r="BC78" s="123"/>
      <c r="BD78" s="123"/>
      <c r="BE78" s="123"/>
      <c r="BF78" s="123"/>
      <c r="BG78" s="123"/>
      <c r="BH78" s="123"/>
      <c r="BI78" s="123"/>
      <c r="BJ78" s="123"/>
      <c r="BK78" s="123"/>
      <c r="BL78" s="123"/>
      <c r="BM78" s="123">
        <v>0</v>
      </c>
      <c r="BN78" s="123">
        <v>3</v>
      </c>
      <c r="BO78" s="150">
        <v>0</v>
      </c>
      <c r="BP78" s="123">
        <v>0</v>
      </c>
      <c r="BQ78" s="123">
        <v>0</v>
      </c>
      <c r="BR78" s="123">
        <f t="shared" si="2"/>
        <v>3</v>
      </c>
      <c r="BZ78" s="123">
        <v>39.71</v>
      </c>
      <c r="CA78" s="123">
        <v>25.59</v>
      </c>
      <c r="CB78" s="123">
        <v>41.04</v>
      </c>
      <c r="CC78" s="123">
        <v>33.02</v>
      </c>
      <c r="CD78" s="123">
        <v>50</v>
      </c>
      <c r="CE78" s="123">
        <v>40.09</v>
      </c>
      <c r="CF78" s="139">
        <v>38.2416666666667</v>
      </c>
      <c r="CG78" s="123">
        <v>0.776</v>
      </c>
      <c r="CH78" s="123">
        <v>77.6</v>
      </c>
      <c r="CI78" s="123">
        <v>57.9208333333333</v>
      </c>
      <c r="CJ78" s="123">
        <v>0.748944910251667</v>
      </c>
      <c r="CK78" s="123">
        <v>74.8944910251667</v>
      </c>
      <c r="CL78" s="123">
        <v>0.66668</v>
      </c>
      <c r="CM78" s="123">
        <v>66.668</v>
      </c>
      <c r="CN78" s="123">
        <v>0.411</v>
      </c>
      <c r="CO78" s="123">
        <v>41.1</v>
      </c>
      <c r="CP78" s="123">
        <v>87.02</v>
      </c>
      <c r="CQ78" s="123"/>
      <c r="CR78" s="123">
        <v>67.4206227562917</v>
      </c>
      <c r="CS78" s="123">
        <v>67.9160406226127</v>
      </c>
      <c r="CT78" s="186"/>
      <c r="CU78" s="186"/>
      <c r="CV78" s="186"/>
      <c r="CW78" s="186">
        <v>1</v>
      </c>
      <c r="CX78" s="143">
        <v>100</v>
      </c>
      <c r="CY78" s="180">
        <v>1</v>
      </c>
      <c r="CZ78" s="143">
        <v>100</v>
      </c>
      <c r="DA78" s="180">
        <v>1</v>
      </c>
      <c r="DB78" s="143">
        <v>100</v>
      </c>
      <c r="DC78" s="181">
        <v>1</v>
      </c>
      <c r="DD78" s="123">
        <v>100</v>
      </c>
      <c r="DE78" s="126"/>
      <c r="DF78" s="123">
        <v>0</v>
      </c>
      <c r="DG78" s="144">
        <v>0</v>
      </c>
      <c r="DH78" s="144">
        <v>0</v>
      </c>
      <c r="DI78" s="123">
        <v>1</v>
      </c>
      <c r="DJ78" s="143">
        <v>100</v>
      </c>
      <c r="DK78" s="123"/>
      <c r="DL78" s="123">
        <v>0</v>
      </c>
      <c r="DM78" s="123">
        <v>0</v>
      </c>
      <c r="DN78" s="123"/>
      <c r="DO78" s="123">
        <v>0</v>
      </c>
      <c r="DP78" s="143">
        <v>0</v>
      </c>
      <c r="DQ78" s="123"/>
      <c r="DR78" s="123">
        <v>0</v>
      </c>
      <c r="DS78" s="145"/>
      <c r="DT78" s="143">
        <v>0</v>
      </c>
      <c r="DU78" s="123">
        <v>0</v>
      </c>
      <c r="DV78" s="146">
        <v>0</v>
      </c>
      <c r="DW78" s="187">
        <v>0</v>
      </c>
      <c r="DX78" s="147">
        <v>0</v>
      </c>
      <c r="DY78" s="147">
        <v>0</v>
      </c>
      <c r="DZ78" s="157">
        <v>2</v>
      </c>
      <c r="EA78" s="126"/>
      <c r="EB78" s="126"/>
      <c r="EC78" s="123">
        <v>1</v>
      </c>
      <c r="ED78" s="123">
        <v>50</v>
      </c>
      <c r="EE78" s="123"/>
      <c r="EF78" s="123"/>
      <c r="EG78" s="123"/>
      <c r="EH78" s="123"/>
      <c r="EI78" s="123"/>
      <c r="EJ78" s="123"/>
      <c r="EK78" s="123"/>
      <c r="EL78" s="123"/>
      <c r="EM78" s="150"/>
      <c r="EN78" s="150"/>
      <c r="EO78" s="150"/>
      <c r="EP78" s="150"/>
      <c r="EQ78" s="150">
        <v>0.776</v>
      </c>
      <c r="ER78" s="123">
        <v>77.6</v>
      </c>
      <c r="ES78" s="123"/>
      <c r="ET78" s="123"/>
      <c r="EU78" s="123"/>
      <c r="EV78" s="123"/>
      <c r="EW78" s="123"/>
      <c r="EX78" s="123"/>
      <c r="EY78" s="123"/>
      <c r="EZ78" s="123"/>
      <c r="FA78" s="123"/>
      <c r="FB78" s="123"/>
      <c r="FC78" s="123"/>
      <c r="FD78" s="123"/>
      <c r="FE78" s="123"/>
      <c r="FF78" s="123"/>
      <c r="FG78" s="123"/>
      <c r="FH78" s="123"/>
      <c r="FI78" s="123"/>
      <c r="FJ78" s="123"/>
      <c r="FK78" s="123"/>
      <c r="FL78" s="123"/>
      <c r="FM78" s="123"/>
      <c r="FN78" s="123"/>
      <c r="FO78" s="123"/>
      <c r="FP78" s="123"/>
      <c r="FQ78" s="123"/>
      <c r="FR78" s="123"/>
      <c r="FS78" s="123"/>
      <c r="FT78" s="123"/>
      <c r="FU78" s="150"/>
      <c r="FV78" s="123"/>
      <c r="FW78" s="123"/>
      <c r="FX78" s="151"/>
      <c r="FY78" s="151"/>
      <c r="FZ78" s="151"/>
      <c r="GA78" s="151">
        <v>0.814815</v>
      </c>
      <c r="GB78" s="123">
        <v>1.22727244834717</v>
      </c>
      <c r="GC78" s="123"/>
      <c r="GD78" s="123">
        <v>122.727244834717</v>
      </c>
      <c r="GE78" s="123">
        <v>0.942</v>
      </c>
      <c r="GF78" s="123">
        <v>0.978</v>
      </c>
      <c r="GG78" s="126">
        <v>96</v>
      </c>
      <c r="GV78" s="123">
        <v>1647</v>
      </c>
      <c r="HA78" s="123">
        <v>11</v>
      </c>
      <c r="HF78" s="123">
        <v>7</v>
      </c>
      <c r="HK78" s="123">
        <v>3</v>
      </c>
    </row>
    <row r="79" s="123" customFormat="1" ht="15" spans="1:219">
      <c r="A79" s="137" t="s">
        <v>581</v>
      </c>
      <c r="B79" s="185" t="s">
        <v>582</v>
      </c>
      <c r="C79" s="188" t="s">
        <v>583</v>
      </c>
      <c r="D79" s="138"/>
      <c r="E79" s="139" t="s">
        <v>337</v>
      </c>
      <c r="F79" s="138"/>
      <c r="G79" s="140"/>
      <c r="H79" s="141">
        <v>7769819</v>
      </c>
      <c r="I79" s="142">
        <v>19.2032302711253</v>
      </c>
      <c r="J79" s="139">
        <v>16502933121.0806</v>
      </c>
      <c r="K79" s="126">
        <v>2.36596227438853</v>
      </c>
      <c r="L79" s="123">
        <v>0</v>
      </c>
      <c r="M79" s="123">
        <v>0</v>
      </c>
      <c r="N79" s="123"/>
      <c r="O79" s="123"/>
      <c r="P79" s="123"/>
      <c r="Q79" s="123"/>
      <c r="R79" s="123">
        <v>0</v>
      </c>
      <c r="S79" s="123"/>
      <c r="T79" s="123"/>
      <c r="U79" s="123"/>
      <c r="V79" s="123"/>
      <c r="W79" s="123">
        <v>0</v>
      </c>
      <c r="X79" s="123"/>
      <c r="Y79" s="123"/>
      <c r="Z79" s="123"/>
      <c r="AA79" s="123"/>
      <c r="AB79" s="123">
        <v>0</v>
      </c>
      <c r="AC79" s="123"/>
      <c r="AD79" s="123"/>
      <c r="AE79" s="123"/>
      <c r="AF79" s="123"/>
      <c r="AG79" s="123"/>
      <c r="AH79" s="123"/>
      <c r="AI79" s="123">
        <v>2</v>
      </c>
      <c r="AJ79" s="123"/>
      <c r="AK79" s="123"/>
      <c r="AL79" s="123"/>
      <c r="AM79" s="123"/>
      <c r="AN79" s="123"/>
      <c r="AO79" s="123"/>
      <c r="AP79" s="123"/>
      <c r="AQ79" s="123"/>
      <c r="AR79" s="123"/>
      <c r="AS79" s="123"/>
      <c r="AT79" s="123"/>
      <c r="AU79" s="123"/>
      <c r="AV79" s="123"/>
      <c r="AW79" s="123"/>
      <c r="AX79" s="123"/>
      <c r="AY79" s="123"/>
      <c r="AZ79" s="123"/>
      <c r="BA79" s="123"/>
      <c r="BB79" s="123"/>
      <c r="BC79" s="123"/>
      <c r="BD79" s="123"/>
      <c r="BE79" s="123"/>
      <c r="BF79" s="123"/>
      <c r="BG79" s="123"/>
      <c r="BH79" s="123"/>
      <c r="BI79" s="123"/>
      <c r="BJ79" s="123"/>
      <c r="BK79" s="123"/>
      <c r="BL79" s="123"/>
      <c r="BM79" s="123">
        <v>0</v>
      </c>
      <c r="BN79" s="123">
        <v>1</v>
      </c>
      <c r="BO79" s="150">
        <v>0</v>
      </c>
      <c r="BP79" s="123">
        <v>0</v>
      </c>
      <c r="BQ79" s="123">
        <v>0</v>
      </c>
      <c r="BR79" s="123">
        <f t="shared" si="2"/>
        <v>1</v>
      </c>
      <c r="BZ79" s="123">
        <v>5.39</v>
      </c>
      <c r="CA79" s="123">
        <v>75.36</v>
      </c>
      <c r="CB79" s="123">
        <v>28.3</v>
      </c>
      <c r="CC79" s="123">
        <v>17.92</v>
      </c>
      <c r="CD79" s="123">
        <v>22.64</v>
      </c>
      <c r="CE79" s="123">
        <v>19.81</v>
      </c>
      <c r="CF79" s="139">
        <v>28.2366666666667</v>
      </c>
      <c r="CG79" s="123">
        <v>0.617</v>
      </c>
      <c r="CH79" s="123">
        <v>61.7</v>
      </c>
      <c r="CI79" s="123">
        <v>44.9683333333333</v>
      </c>
      <c r="CJ79" s="123">
        <v>0.413937894999433</v>
      </c>
      <c r="CK79" s="123">
        <v>41.3937894999433</v>
      </c>
      <c r="CL79" s="123">
        <v>0.44038</v>
      </c>
      <c r="CM79" s="123">
        <v>44.038</v>
      </c>
      <c r="CN79" s="123">
        <v>0.2877</v>
      </c>
      <c r="CO79" s="123">
        <v>28.77</v>
      </c>
      <c r="CP79" s="123">
        <v>33.74</v>
      </c>
      <c r="CQ79" s="123"/>
      <c r="CR79" s="123">
        <v>36.9854473749858</v>
      </c>
      <c r="CS79" s="123">
        <v>62.5528530812325</v>
      </c>
      <c r="CT79" s="186"/>
      <c r="CU79" s="186"/>
      <c r="CV79" s="186"/>
      <c r="CW79" s="186">
        <v>0</v>
      </c>
      <c r="CX79" s="143">
        <v>0</v>
      </c>
      <c r="CY79" s="180">
        <v>0</v>
      </c>
      <c r="CZ79" s="143">
        <v>0</v>
      </c>
      <c r="DA79" s="180">
        <v>0</v>
      </c>
      <c r="DB79" s="143">
        <v>0</v>
      </c>
      <c r="DC79" s="181">
        <v>0</v>
      </c>
      <c r="DD79" s="123">
        <v>0</v>
      </c>
      <c r="DE79" s="126"/>
      <c r="DF79" s="123">
        <v>0</v>
      </c>
      <c r="DG79" s="144">
        <v>0</v>
      </c>
      <c r="DH79" s="144">
        <v>0</v>
      </c>
      <c r="DI79" s="123">
        <v>0</v>
      </c>
      <c r="DJ79" s="143">
        <v>0</v>
      </c>
      <c r="DK79" s="123"/>
      <c r="DL79" s="123">
        <v>0</v>
      </c>
      <c r="DM79" s="123">
        <v>0</v>
      </c>
      <c r="DN79" s="123"/>
      <c r="DO79" s="123">
        <v>0</v>
      </c>
      <c r="DP79" s="143">
        <v>0</v>
      </c>
      <c r="DQ79" s="123"/>
      <c r="DR79" s="123">
        <v>0</v>
      </c>
      <c r="DS79" s="145"/>
      <c r="DT79" s="143">
        <v>0</v>
      </c>
      <c r="DU79" s="123">
        <v>0</v>
      </c>
      <c r="DV79" s="146">
        <v>0</v>
      </c>
      <c r="DW79" s="187">
        <v>0</v>
      </c>
      <c r="DX79" s="147">
        <v>0</v>
      </c>
      <c r="DY79" s="147">
        <v>0</v>
      </c>
      <c r="DZ79" s="157">
        <v>2</v>
      </c>
      <c r="EA79" s="126"/>
      <c r="EB79" s="126"/>
      <c r="EC79" s="123">
        <v>0</v>
      </c>
      <c r="ED79" s="123">
        <v>0</v>
      </c>
      <c r="EE79" s="123"/>
      <c r="EF79" s="123"/>
      <c r="EG79" s="123"/>
      <c r="EH79" s="123"/>
      <c r="EI79" s="123"/>
      <c r="EJ79" s="123"/>
      <c r="EK79" s="123"/>
      <c r="EL79" s="123"/>
      <c r="EM79" s="150"/>
      <c r="EN79" s="150"/>
      <c r="EO79" s="150"/>
      <c r="EP79" s="150"/>
      <c r="EQ79" s="216" t="s">
        <v>584</v>
      </c>
      <c r="ER79" s="123">
        <v>56.8666666666667</v>
      </c>
      <c r="ES79" s="123"/>
      <c r="ET79" s="123"/>
      <c r="EU79" s="123"/>
      <c r="EV79" s="123"/>
      <c r="EW79" s="123"/>
      <c r="EX79" s="123"/>
      <c r="EY79" s="123"/>
      <c r="EZ79" s="123"/>
      <c r="FA79" s="123"/>
      <c r="FB79" s="123"/>
      <c r="FC79" s="123"/>
      <c r="FD79" s="123"/>
      <c r="FE79" s="123"/>
      <c r="FF79" s="123"/>
      <c r="FG79" s="123"/>
      <c r="FH79" s="123"/>
      <c r="FI79" s="123"/>
      <c r="FJ79" s="123"/>
      <c r="FK79" s="123"/>
      <c r="FL79" s="123"/>
      <c r="FM79" s="123"/>
      <c r="FN79" s="123"/>
      <c r="FO79" s="123"/>
      <c r="FP79" s="123"/>
      <c r="FQ79" s="123"/>
      <c r="FR79" s="123"/>
      <c r="FS79" s="123"/>
      <c r="FT79" s="123"/>
      <c r="FU79" s="150"/>
      <c r="FV79" s="123"/>
      <c r="FW79" s="123"/>
      <c r="FX79" s="151"/>
      <c r="FY79" s="151"/>
      <c r="FZ79" s="151"/>
      <c r="GA79" s="151"/>
      <c r="GB79" s="123"/>
      <c r="GC79" s="123"/>
      <c r="GD79" s="123"/>
      <c r="GE79" s="123">
        <v>0.914</v>
      </c>
      <c r="GF79" s="123">
        <v>0.974</v>
      </c>
      <c r="GG79" s="126">
        <v>94.4</v>
      </c>
    </row>
    <row r="80" s="123" customFormat="1" ht="15" spans="1:219">
      <c r="A80" s="137" t="s">
        <v>585</v>
      </c>
      <c r="B80" s="188" t="s">
        <v>586</v>
      </c>
      <c r="C80" s="185" t="s">
        <v>586</v>
      </c>
      <c r="D80" s="138"/>
      <c r="E80" s="139" t="s">
        <v>337</v>
      </c>
      <c r="F80" s="138"/>
      <c r="G80" s="140"/>
      <c r="H80" s="141">
        <v>6916140</v>
      </c>
      <c r="I80" s="142">
        <v>17.0933491510343</v>
      </c>
      <c r="J80" s="139">
        <v>19693982967.5926</v>
      </c>
      <c r="K80" s="126">
        <v>2.82345086124444</v>
      </c>
      <c r="L80" s="123">
        <v>0</v>
      </c>
      <c r="M80" s="123">
        <v>0</v>
      </c>
      <c r="N80" s="123"/>
      <c r="O80" s="123"/>
      <c r="P80" s="123"/>
      <c r="Q80" s="123"/>
      <c r="R80" s="123">
        <v>0</v>
      </c>
      <c r="S80" s="123"/>
      <c r="T80" s="123"/>
      <c r="U80" s="123"/>
      <c r="V80" s="123"/>
      <c r="W80" s="123">
        <v>0</v>
      </c>
      <c r="X80" s="123"/>
      <c r="Y80" s="123"/>
      <c r="Z80" s="123"/>
      <c r="AA80" s="123"/>
      <c r="AB80" s="123">
        <v>0</v>
      </c>
      <c r="AC80" s="123"/>
      <c r="AD80" s="123"/>
      <c r="AE80" s="123"/>
      <c r="AF80" s="123"/>
      <c r="AG80" s="123"/>
      <c r="AH80" s="123"/>
      <c r="AI80" s="123">
        <v>3</v>
      </c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 s="123"/>
      <c r="AY80" s="123"/>
      <c r="AZ80" s="123"/>
      <c r="BA80" s="123"/>
      <c r="BB80" s="123"/>
      <c r="BC80" s="123"/>
      <c r="BD80" s="123"/>
      <c r="BE80" s="123"/>
      <c r="BF80" s="123"/>
      <c r="BG80" s="123"/>
      <c r="BH80" s="123"/>
      <c r="BI80" s="123"/>
      <c r="BJ80" s="123"/>
      <c r="BK80" s="123"/>
      <c r="BL80" s="123"/>
      <c r="BM80" s="123">
        <v>0</v>
      </c>
      <c r="BN80" s="123">
        <v>1</v>
      </c>
      <c r="BO80" s="150">
        <v>0</v>
      </c>
      <c r="BP80" s="123">
        <v>0</v>
      </c>
      <c r="BQ80" s="123">
        <v>0</v>
      </c>
      <c r="BR80" s="123">
        <f t="shared" si="2"/>
        <v>1</v>
      </c>
      <c r="BZ80" s="123">
        <v>10.29</v>
      </c>
      <c r="CA80" s="123">
        <v>42.18</v>
      </c>
      <c r="CB80" s="123">
        <v>13.21</v>
      </c>
      <c r="CC80" s="123">
        <v>20.28</v>
      </c>
      <c r="CD80" s="123">
        <v>9.43</v>
      </c>
      <c r="CE80" s="123">
        <v>7.08</v>
      </c>
      <c r="CF80" s="139">
        <v>17.0783333333333</v>
      </c>
      <c r="CG80" s="123">
        <v>0.706</v>
      </c>
      <c r="CH80" s="123">
        <v>70.6</v>
      </c>
      <c r="CI80" s="123">
        <v>43.8391666666666</v>
      </c>
      <c r="CJ80" s="123">
        <v>0.324368283276964</v>
      </c>
      <c r="CK80" s="123">
        <v>32.4368283276964</v>
      </c>
      <c r="CL80" s="123">
        <v>0.53181</v>
      </c>
      <c r="CM80" s="123">
        <v>53.181</v>
      </c>
      <c r="CN80" s="123">
        <v>0.2329</v>
      </c>
      <c r="CO80" s="123">
        <v>23.29</v>
      </c>
      <c r="CP80" s="123">
        <v>20.56</v>
      </c>
      <c r="CQ80" s="123"/>
      <c r="CR80" s="123">
        <v>32.3669570819241</v>
      </c>
      <c r="CS80" s="123">
        <v>64.7771926470588</v>
      </c>
      <c r="CT80" s="189"/>
      <c r="CU80" s="189"/>
      <c r="CV80" s="189"/>
      <c r="CW80" s="189">
        <v>0</v>
      </c>
      <c r="CX80" s="143">
        <v>0</v>
      </c>
      <c r="CY80" s="180">
        <v>0</v>
      </c>
      <c r="CZ80" s="143">
        <v>0</v>
      </c>
      <c r="DA80" s="180">
        <v>0</v>
      </c>
      <c r="DB80" s="143">
        <v>0</v>
      </c>
      <c r="DC80" s="181">
        <v>0</v>
      </c>
      <c r="DD80" s="123">
        <v>0</v>
      </c>
      <c r="DE80" s="126"/>
      <c r="DF80" s="123">
        <v>0</v>
      </c>
      <c r="DG80" s="144">
        <v>0</v>
      </c>
      <c r="DH80" s="144">
        <v>0</v>
      </c>
      <c r="DI80" s="123">
        <v>0</v>
      </c>
      <c r="DJ80" s="143">
        <v>0</v>
      </c>
      <c r="DK80" s="123"/>
      <c r="DL80" s="123">
        <v>0</v>
      </c>
      <c r="DM80" s="123">
        <v>0</v>
      </c>
      <c r="DN80" s="123"/>
      <c r="DO80" s="123">
        <v>0</v>
      </c>
      <c r="DP80" s="143">
        <v>0</v>
      </c>
      <c r="DQ80" s="123"/>
      <c r="DR80" s="123">
        <v>0</v>
      </c>
      <c r="DS80" s="145"/>
      <c r="DT80" s="143">
        <v>0</v>
      </c>
      <c r="DU80" s="123">
        <v>0</v>
      </c>
      <c r="DV80" s="146">
        <v>0</v>
      </c>
      <c r="DW80" s="187">
        <v>0</v>
      </c>
      <c r="DX80" s="147">
        <v>0</v>
      </c>
      <c r="DY80" s="147">
        <v>0</v>
      </c>
      <c r="DZ80" s="157">
        <v>1</v>
      </c>
      <c r="EA80" s="126"/>
      <c r="EB80" s="126"/>
      <c r="EC80" s="123">
        <v>0</v>
      </c>
      <c r="ED80" s="123">
        <v>0</v>
      </c>
      <c r="EE80" s="123"/>
      <c r="EF80" s="123"/>
      <c r="EG80" s="123"/>
      <c r="EH80" s="123"/>
      <c r="EI80" s="123"/>
      <c r="EJ80" s="123"/>
      <c r="EK80" s="123"/>
      <c r="EL80" s="123"/>
      <c r="EM80" s="150"/>
      <c r="EN80" s="150"/>
      <c r="EO80" s="150"/>
      <c r="EP80" s="150"/>
      <c r="EQ80" s="216" t="s">
        <v>587</v>
      </c>
      <c r="ER80" s="123">
        <v>54.6444444444444</v>
      </c>
      <c r="ES80" s="123"/>
      <c r="ET80" s="123"/>
      <c r="EU80" s="123"/>
      <c r="EV80" s="123"/>
      <c r="EW80" s="123"/>
      <c r="EX80" s="123"/>
      <c r="EY80" s="123"/>
      <c r="EZ80" s="123"/>
      <c r="FA80" s="123"/>
      <c r="FB80" s="123"/>
      <c r="FC80" s="123"/>
      <c r="FD80" s="123"/>
      <c r="FE80" s="123"/>
      <c r="FF80" s="123"/>
      <c r="FG80" s="123"/>
      <c r="FH80" s="123"/>
      <c r="FI80" s="123"/>
      <c r="FJ80" s="123"/>
      <c r="FK80" s="123"/>
      <c r="FL80" s="123"/>
      <c r="FM80" s="123"/>
      <c r="FN80" s="123"/>
      <c r="FO80" s="123"/>
      <c r="FP80" s="123"/>
      <c r="FQ80" s="123"/>
      <c r="FR80" s="123"/>
      <c r="FS80" s="123"/>
      <c r="FT80" s="123"/>
      <c r="FU80" s="150"/>
      <c r="FV80" s="123"/>
      <c r="FW80" s="123"/>
      <c r="FX80" s="151"/>
      <c r="FY80" s="151"/>
      <c r="FZ80" s="151"/>
      <c r="GA80" s="151"/>
      <c r="GB80" s="123"/>
      <c r="GC80" s="123"/>
      <c r="GD80" s="123"/>
      <c r="GE80" s="123">
        <v>0.947</v>
      </c>
      <c r="GF80" s="123">
        <v>0.992</v>
      </c>
      <c r="GG80" s="126">
        <v>96.95</v>
      </c>
      <c r="GV80" s="123">
        <v>4</v>
      </c>
    </row>
    <row r="81" s="123" customFormat="1" ht="15" spans="1:219">
      <c r="A81" s="196" t="s">
        <v>588</v>
      </c>
      <c r="B81" s="185" t="s">
        <v>589</v>
      </c>
      <c r="C81" s="185" t="s">
        <v>589</v>
      </c>
      <c r="D81" s="138"/>
      <c r="E81" s="138" t="s">
        <v>325</v>
      </c>
      <c r="F81" s="138"/>
      <c r="G81" s="140"/>
      <c r="H81" s="141">
        <v>46814308</v>
      </c>
      <c r="I81" s="142">
        <v>115.702300981192</v>
      </c>
      <c r="J81" s="139">
        <v>263619794506.723</v>
      </c>
      <c r="K81" s="126">
        <v>37.7941596205246</v>
      </c>
      <c r="L81" s="123">
        <v>261</v>
      </c>
      <c r="M81" s="123">
        <v>261</v>
      </c>
      <c r="N81" s="123"/>
      <c r="O81" s="123"/>
      <c r="P81" s="123"/>
      <c r="Q81" s="123"/>
      <c r="R81" s="123">
        <v>422</v>
      </c>
      <c r="S81" s="123"/>
      <c r="T81" s="123"/>
      <c r="U81" s="123"/>
      <c r="V81" s="123"/>
      <c r="W81" s="123">
        <v>0</v>
      </c>
      <c r="X81" s="123"/>
      <c r="Y81" s="123"/>
      <c r="Z81" s="123"/>
      <c r="AA81" s="123"/>
      <c r="AB81" s="123">
        <v>0</v>
      </c>
      <c r="AC81" s="123"/>
      <c r="AD81" s="123"/>
      <c r="AE81" s="123"/>
      <c r="AF81" s="123"/>
      <c r="AG81" s="123"/>
      <c r="AH81" s="123"/>
      <c r="AI81" s="123">
        <v>6</v>
      </c>
      <c r="AJ81" s="123"/>
      <c r="AK81" s="123"/>
      <c r="AL81" s="123"/>
      <c r="AM81" s="123"/>
      <c r="AN81" s="123"/>
      <c r="AO81" s="123"/>
      <c r="AP81" s="123"/>
      <c r="AQ81" s="123"/>
      <c r="AR81" s="123"/>
      <c r="AS81" s="123"/>
      <c r="AT81" s="123"/>
      <c r="AU81" s="123"/>
      <c r="AV81" s="123"/>
      <c r="AW81" s="123"/>
      <c r="AX81" s="123"/>
      <c r="AY81" s="123"/>
      <c r="AZ81" s="123"/>
      <c r="BA81" s="123"/>
      <c r="BB81" s="123"/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>
        <v>0</v>
      </c>
      <c r="BN81" s="123">
        <v>1</v>
      </c>
      <c r="BO81" s="150">
        <v>0</v>
      </c>
      <c r="BP81" s="123">
        <v>0</v>
      </c>
      <c r="BQ81" s="123">
        <v>0</v>
      </c>
      <c r="BR81" s="123">
        <f t="shared" si="2"/>
        <v>1</v>
      </c>
      <c r="BZ81" s="123">
        <v>22.06</v>
      </c>
      <c r="CA81" s="123">
        <v>23.22</v>
      </c>
      <c r="CB81" s="123">
        <v>27.36</v>
      </c>
      <c r="CC81" s="123">
        <v>16.04</v>
      </c>
      <c r="CD81" s="123">
        <v>26.42</v>
      </c>
      <c r="CE81" s="123">
        <v>30.19</v>
      </c>
      <c r="CF81" s="139">
        <v>24.215</v>
      </c>
      <c r="CG81" s="123">
        <v>0.763</v>
      </c>
      <c r="CH81" s="123">
        <v>76.3</v>
      </c>
      <c r="CI81" s="123">
        <v>50.2575</v>
      </c>
      <c r="CJ81" s="123">
        <v>0.501913371228013</v>
      </c>
      <c r="CK81" s="123">
        <v>50.1913371228013</v>
      </c>
      <c r="CL81" s="123">
        <v>0.59556</v>
      </c>
      <c r="CM81" s="123">
        <v>59.556</v>
      </c>
      <c r="CN81" s="123">
        <v>0.0548</v>
      </c>
      <c r="CO81" s="123">
        <v>5.48</v>
      </c>
      <c r="CP81" s="123">
        <v>65.87</v>
      </c>
      <c r="CQ81" s="123"/>
      <c r="CR81" s="123">
        <v>45.2743342807003</v>
      </c>
      <c r="CS81" s="123">
        <v>70.0719750827604</v>
      </c>
      <c r="CT81" s="186"/>
      <c r="CU81" s="186"/>
      <c r="CV81" s="186"/>
      <c r="CW81" s="186">
        <v>1</v>
      </c>
      <c r="CX81" s="143">
        <v>100</v>
      </c>
      <c r="CY81" s="180">
        <v>1</v>
      </c>
      <c r="CZ81" s="143">
        <v>100</v>
      </c>
      <c r="DA81" s="180">
        <v>1</v>
      </c>
      <c r="DB81" s="143">
        <v>100</v>
      </c>
      <c r="DC81" s="181">
        <v>1</v>
      </c>
      <c r="DD81" s="123">
        <v>100</v>
      </c>
      <c r="DE81" s="126"/>
      <c r="DF81" s="123">
        <v>0</v>
      </c>
      <c r="DG81" s="144">
        <v>0</v>
      </c>
      <c r="DH81" s="144">
        <v>0</v>
      </c>
      <c r="DI81" s="123">
        <v>0</v>
      </c>
      <c r="DJ81" s="143">
        <v>0</v>
      </c>
      <c r="DK81" s="123"/>
      <c r="DL81" s="123">
        <v>0</v>
      </c>
      <c r="DM81" s="123">
        <v>0</v>
      </c>
      <c r="DN81" s="123"/>
      <c r="DO81" s="123">
        <v>0</v>
      </c>
      <c r="DP81" s="143">
        <v>0</v>
      </c>
      <c r="DQ81" s="123"/>
      <c r="DR81" s="123">
        <v>0</v>
      </c>
      <c r="DS81" s="145"/>
      <c r="DT81" s="143">
        <v>0</v>
      </c>
      <c r="DU81" s="123">
        <v>0</v>
      </c>
      <c r="DV81" s="146">
        <v>0</v>
      </c>
      <c r="DW81" s="187">
        <v>0</v>
      </c>
      <c r="DX81" s="147">
        <v>0</v>
      </c>
      <c r="DY81" s="147">
        <v>0</v>
      </c>
      <c r="DZ81" s="157">
        <v>2</v>
      </c>
      <c r="EA81" s="126"/>
      <c r="EB81" s="126"/>
      <c r="EC81" s="123">
        <v>0</v>
      </c>
      <c r="ED81" s="123">
        <v>0</v>
      </c>
      <c r="EE81" s="123"/>
      <c r="EF81" s="123"/>
      <c r="EG81" s="123"/>
      <c r="EH81" s="123"/>
      <c r="EI81" s="123"/>
      <c r="EJ81" s="123"/>
      <c r="EK81" s="123"/>
      <c r="EL81" s="123"/>
      <c r="EM81" s="150"/>
      <c r="EN81" s="150"/>
      <c r="EO81" s="150"/>
      <c r="EP81" s="150"/>
      <c r="EQ81" s="216" t="s">
        <v>590</v>
      </c>
      <c r="ER81" s="123">
        <v>74.3777777777778</v>
      </c>
      <c r="ES81" s="123"/>
      <c r="ET81" s="123"/>
      <c r="EU81" s="123"/>
      <c r="EV81" s="123"/>
      <c r="EW81" s="123"/>
      <c r="EX81" s="123"/>
      <c r="EY81" s="123"/>
      <c r="EZ81" s="123"/>
      <c r="FA81" s="123"/>
      <c r="FB81" s="123"/>
      <c r="FC81" s="123"/>
      <c r="FD81" s="123"/>
      <c r="FE81" s="123"/>
      <c r="FF81" s="123"/>
      <c r="FG81" s="123"/>
      <c r="FH81" s="123"/>
      <c r="FI81" s="123"/>
      <c r="FJ81" s="123"/>
      <c r="FK81" s="123"/>
      <c r="FL81" s="123"/>
      <c r="FM81" s="123"/>
      <c r="FN81" s="123"/>
      <c r="FO81" s="123"/>
      <c r="FP81" s="123"/>
      <c r="FQ81" s="123"/>
      <c r="FR81" s="123"/>
      <c r="FS81" s="123"/>
      <c r="FT81" s="123"/>
      <c r="FU81" s="150"/>
      <c r="FV81" s="123"/>
      <c r="FW81" s="123"/>
      <c r="FX81" s="151"/>
      <c r="FY81" s="151"/>
      <c r="FZ81" s="151"/>
      <c r="GA81" s="151">
        <v>3.114583</v>
      </c>
      <c r="GB81" s="123">
        <v>0.321070268475748</v>
      </c>
      <c r="GC81" s="123"/>
      <c r="GD81" s="123">
        <v>32.1070268475748</v>
      </c>
      <c r="GE81" s="123">
        <v>0.945</v>
      </c>
      <c r="GF81" s="123">
        <v>0.982</v>
      </c>
      <c r="GG81" s="126">
        <v>96.35</v>
      </c>
      <c r="GQ81" s="123">
        <v>1</v>
      </c>
      <c r="GV81" s="123">
        <v>12</v>
      </c>
      <c r="HA81" s="123">
        <v>24</v>
      </c>
      <c r="HF81" s="123">
        <v>12</v>
      </c>
      <c r="HK81" s="123">
        <v>13</v>
      </c>
    </row>
    <row r="82" s="123" customFormat="1" ht="15" spans="1:219">
      <c r="A82" s="196" t="s">
        <v>591</v>
      </c>
      <c r="B82" s="185" t="s">
        <v>592</v>
      </c>
      <c r="C82" s="185" t="s">
        <v>592</v>
      </c>
      <c r="D82" s="138"/>
      <c r="E82" s="138" t="s">
        <v>293</v>
      </c>
      <c r="F82" s="138"/>
      <c r="G82" s="140"/>
      <c r="H82" s="141">
        <v>6444366</v>
      </c>
      <c r="I82" s="142">
        <v>15.9273522651442</v>
      </c>
      <c r="J82" s="139">
        <v>112211952703.831</v>
      </c>
      <c r="K82" s="126">
        <v>16.08739760895</v>
      </c>
      <c r="L82" s="123">
        <v>83</v>
      </c>
      <c r="M82" s="123">
        <v>83</v>
      </c>
      <c r="N82" s="123"/>
      <c r="O82" s="123"/>
      <c r="P82" s="123"/>
      <c r="Q82" s="123"/>
      <c r="R82" s="123">
        <v>153</v>
      </c>
      <c r="S82" s="123"/>
      <c r="T82" s="123"/>
      <c r="U82" s="123"/>
      <c r="V82" s="123"/>
      <c r="W82" s="123">
        <v>5</v>
      </c>
      <c r="X82" s="123"/>
      <c r="Y82" s="123"/>
      <c r="Z82" s="123"/>
      <c r="AA82" s="123"/>
      <c r="AB82" s="123">
        <v>0</v>
      </c>
      <c r="AC82" s="123"/>
      <c r="AD82" s="123"/>
      <c r="AE82" s="123"/>
      <c r="AF82" s="123"/>
      <c r="AG82" s="123"/>
      <c r="AH82" s="123"/>
      <c r="AI82" s="123">
        <v>31</v>
      </c>
      <c r="AJ82" s="123"/>
      <c r="AK82" s="123"/>
      <c r="AL82" s="123"/>
      <c r="AM82" s="123"/>
      <c r="AN82" s="123">
        <v>7044.87</v>
      </c>
      <c r="AO82" s="123"/>
      <c r="AP82" s="123"/>
      <c r="AQ82" s="123"/>
      <c r="AR82" s="123">
        <v>9154.16</v>
      </c>
      <c r="AS82" s="123"/>
      <c r="AT82" s="123"/>
      <c r="AU82" s="123"/>
      <c r="AV82" s="123"/>
      <c r="AW82" s="123"/>
      <c r="AX82" s="123"/>
      <c r="AY82" s="123"/>
      <c r="AZ82" s="123"/>
      <c r="BA82" s="123"/>
      <c r="BB82" s="123"/>
      <c r="BC82" s="123"/>
      <c r="BD82" s="123"/>
      <c r="BE82" s="123"/>
      <c r="BF82" s="123"/>
      <c r="BG82" s="123"/>
      <c r="BH82" s="123"/>
      <c r="BI82" s="123"/>
      <c r="BJ82" s="123"/>
      <c r="BK82" s="123"/>
      <c r="BL82" s="123"/>
      <c r="BM82" s="123">
        <v>0</v>
      </c>
      <c r="BN82" s="123">
        <v>1</v>
      </c>
      <c r="BO82" s="123">
        <v>15</v>
      </c>
      <c r="BP82" s="123">
        <v>29</v>
      </c>
      <c r="BQ82" s="123">
        <v>0</v>
      </c>
      <c r="BR82" s="123">
        <f t="shared" si="2"/>
        <v>30</v>
      </c>
      <c r="BZ82" s="123">
        <v>60.29</v>
      </c>
      <c r="CA82" s="123">
        <v>55.45</v>
      </c>
      <c r="CB82" s="123">
        <v>53.3</v>
      </c>
      <c r="CC82" s="123">
        <v>65.57</v>
      </c>
      <c r="CD82" s="123">
        <v>53.77</v>
      </c>
      <c r="CE82" s="123">
        <v>50</v>
      </c>
      <c r="CF82" s="139">
        <v>56.3966666666667</v>
      </c>
      <c r="CG82" s="123">
        <v>0.845</v>
      </c>
      <c r="CH82" s="123">
        <v>84.5</v>
      </c>
      <c r="CI82" s="123">
        <v>70.4483333333334</v>
      </c>
      <c r="CJ82" s="123">
        <v>0.681322671641282</v>
      </c>
      <c r="CK82" s="123">
        <v>68.1322671641282</v>
      </c>
      <c r="CL82" s="123">
        <v>0.81453</v>
      </c>
      <c r="CM82" s="123">
        <v>81.453</v>
      </c>
      <c r="CN82" s="123">
        <v>0.6712</v>
      </c>
      <c r="CO82" s="123">
        <v>67.12</v>
      </c>
      <c r="CP82" s="123">
        <v>74.56</v>
      </c>
      <c r="CQ82" s="123"/>
      <c r="CR82" s="123">
        <v>72.8163167910321</v>
      </c>
      <c r="CS82" s="123">
        <v>76.3026525910364</v>
      </c>
      <c r="CT82" s="186"/>
      <c r="CU82" s="186"/>
      <c r="CV82" s="186"/>
      <c r="CW82" s="186">
        <v>1</v>
      </c>
      <c r="CX82" s="143">
        <v>100</v>
      </c>
      <c r="CY82" s="180">
        <v>1</v>
      </c>
      <c r="CZ82" s="143">
        <v>100</v>
      </c>
      <c r="DA82" s="180">
        <v>1</v>
      </c>
      <c r="DB82" s="143">
        <v>100</v>
      </c>
      <c r="DC82" s="181">
        <v>1</v>
      </c>
      <c r="DD82" s="123">
        <v>100</v>
      </c>
      <c r="DE82" s="126"/>
      <c r="DF82" s="123">
        <v>0</v>
      </c>
      <c r="DG82" s="144">
        <v>0</v>
      </c>
      <c r="DH82" s="144">
        <v>0</v>
      </c>
      <c r="DI82" s="123">
        <v>0</v>
      </c>
      <c r="DJ82" s="143">
        <v>0</v>
      </c>
      <c r="DK82" s="123"/>
      <c r="DL82" s="123">
        <v>0</v>
      </c>
      <c r="DM82" s="123">
        <v>0</v>
      </c>
      <c r="DN82" s="123"/>
      <c r="DO82" s="123">
        <v>0</v>
      </c>
      <c r="DP82" s="143">
        <v>0</v>
      </c>
      <c r="DQ82" s="123"/>
      <c r="DR82" s="123">
        <v>2</v>
      </c>
      <c r="DS82" s="145"/>
      <c r="DT82" s="143">
        <v>0</v>
      </c>
      <c r="DU82" s="123">
        <v>0</v>
      </c>
      <c r="DV82" s="146">
        <v>0</v>
      </c>
      <c r="DW82" s="187">
        <v>1</v>
      </c>
      <c r="DX82" s="147">
        <v>100</v>
      </c>
      <c r="DY82" s="147">
        <v>33.3333333333333</v>
      </c>
      <c r="DZ82" s="157">
        <v>4</v>
      </c>
      <c r="EA82" s="126"/>
      <c r="EB82" s="126"/>
      <c r="EC82" s="123">
        <v>0</v>
      </c>
      <c r="ED82" s="123">
        <v>0</v>
      </c>
      <c r="EE82" s="123"/>
      <c r="EF82" s="123"/>
      <c r="EG82" s="123"/>
      <c r="EH82" s="123"/>
      <c r="EI82" s="123"/>
      <c r="EJ82" s="123">
        <v>417</v>
      </c>
      <c r="EK82" s="123"/>
      <c r="EL82" s="123"/>
      <c r="EM82" s="150"/>
      <c r="EN82" s="150"/>
      <c r="EO82" s="150"/>
      <c r="EP82" s="150"/>
      <c r="EQ82" s="216" t="s">
        <v>593</v>
      </c>
      <c r="ER82" s="123">
        <v>73.3555555555556</v>
      </c>
      <c r="ES82" s="123"/>
      <c r="ET82" s="123"/>
      <c r="EU82" s="123"/>
      <c r="EV82" s="123"/>
      <c r="EW82" s="123"/>
      <c r="EX82" s="123"/>
      <c r="EY82" s="123"/>
      <c r="EZ82" s="123"/>
      <c r="FA82" s="123"/>
      <c r="FB82" s="123"/>
      <c r="FC82" s="123"/>
      <c r="FD82" s="123"/>
      <c r="FE82" s="123"/>
      <c r="FF82" s="123"/>
      <c r="FG82" s="123"/>
      <c r="FH82" s="123"/>
      <c r="FI82" s="123"/>
      <c r="FJ82" s="123"/>
      <c r="FK82" s="123"/>
      <c r="FL82" s="123"/>
      <c r="FM82" s="123"/>
      <c r="FN82" s="123"/>
      <c r="FO82" s="123"/>
      <c r="FP82" s="123"/>
      <c r="FQ82" s="123"/>
      <c r="FR82" s="123"/>
      <c r="FS82" s="123"/>
      <c r="FT82" s="123"/>
      <c r="FU82" s="150"/>
      <c r="FV82" s="123"/>
      <c r="FW82" s="123"/>
      <c r="FX82" s="151"/>
      <c r="FY82" s="151"/>
      <c r="FZ82" s="151"/>
      <c r="GA82" s="151">
        <v>1.517241</v>
      </c>
      <c r="GB82" s="123">
        <v>0.659091073863677</v>
      </c>
      <c r="GC82" s="123"/>
      <c r="GD82" s="123">
        <v>65.9091073863677</v>
      </c>
      <c r="GE82" s="123">
        <v>1</v>
      </c>
      <c r="GF82" s="123">
        <v>1</v>
      </c>
      <c r="GG82" s="126">
        <v>100</v>
      </c>
      <c r="GQ82" s="123">
        <v>2</v>
      </c>
      <c r="GV82" s="123">
        <v>308</v>
      </c>
      <c r="HA82" s="123">
        <v>16</v>
      </c>
      <c r="HF82" s="123">
        <v>5</v>
      </c>
      <c r="HK82" s="123">
        <v>6</v>
      </c>
    </row>
    <row r="83" s="123" customFormat="1" ht="15" spans="1:219">
      <c r="A83" s="196" t="s">
        <v>594</v>
      </c>
      <c r="B83" s="185" t="s">
        <v>595</v>
      </c>
      <c r="C83" s="185" t="s">
        <v>595</v>
      </c>
      <c r="D83" s="138"/>
      <c r="E83" s="138" t="s">
        <v>337</v>
      </c>
      <c r="F83" s="138"/>
      <c r="G83" s="140"/>
      <c r="H83" s="141">
        <v>38081173</v>
      </c>
      <c r="I83" s="142">
        <v>94.1182200143348</v>
      </c>
      <c r="J83" s="139">
        <v>154430996472.752</v>
      </c>
      <c r="K83" s="126">
        <v>22.140180110409</v>
      </c>
      <c r="L83" s="123">
        <v>215</v>
      </c>
      <c r="M83" s="123">
        <v>215</v>
      </c>
      <c r="N83" s="123"/>
      <c r="O83" s="123"/>
      <c r="P83" s="123"/>
      <c r="Q83" s="123"/>
      <c r="R83" s="123">
        <v>318</v>
      </c>
      <c r="S83" s="123"/>
      <c r="T83" s="123"/>
      <c r="U83" s="123"/>
      <c r="V83" s="123"/>
      <c r="W83" s="123">
        <v>0</v>
      </c>
      <c r="X83" s="123"/>
      <c r="Y83" s="123"/>
      <c r="Z83" s="123"/>
      <c r="AA83" s="123"/>
      <c r="AB83" s="123">
        <v>0</v>
      </c>
      <c r="AC83" s="191"/>
      <c r="AD83" s="191"/>
      <c r="AE83" s="191"/>
      <c r="AF83" s="191"/>
      <c r="AG83" s="191"/>
      <c r="AH83" s="191"/>
      <c r="AI83" s="191">
        <v>12</v>
      </c>
      <c r="AJ83" s="126"/>
      <c r="AK83" s="126"/>
      <c r="AL83" s="126"/>
      <c r="AM83" s="126"/>
      <c r="AN83" s="123">
        <v>3158.11</v>
      </c>
      <c r="AO83" s="123"/>
      <c r="AP83" s="123"/>
      <c r="AQ83" s="123"/>
      <c r="AR83" s="123">
        <v>5014.73</v>
      </c>
      <c r="AS83" s="123"/>
      <c r="AT83" s="123"/>
      <c r="AU83" s="123"/>
      <c r="AV83" s="123"/>
      <c r="AW83" s="123"/>
      <c r="AX83" s="123"/>
      <c r="AY83" s="123"/>
      <c r="AZ83" s="123"/>
      <c r="BA83" s="123"/>
      <c r="BB83" s="123"/>
      <c r="BC83" s="123"/>
      <c r="BD83" s="123"/>
      <c r="BE83" s="123"/>
      <c r="BF83" s="123"/>
      <c r="BG83" s="123"/>
      <c r="BH83" s="123"/>
      <c r="BI83" s="123"/>
      <c r="BJ83" s="123"/>
      <c r="BK83" s="123"/>
      <c r="BL83" s="123"/>
      <c r="BM83" s="123">
        <v>1</v>
      </c>
      <c r="BN83" s="150">
        <v>0</v>
      </c>
      <c r="BO83" s="123">
        <v>2</v>
      </c>
      <c r="BP83" s="123">
        <v>8</v>
      </c>
      <c r="BQ83" s="123">
        <v>0</v>
      </c>
      <c r="BR83" s="123">
        <f t="shared" si="2"/>
        <v>9</v>
      </c>
      <c r="BZ83" s="123">
        <v>34.31</v>
      </c>
      <c r="CA83" s="123">
        <v>29.86</v>
      </c>
      <c r="CB83" s="123">
        <v>50</v>
      </c>
      <c r="CC83" s="123">
        <v>50.94</v>
      </c>
      <c r="CD83" s="123">
        <v>48.58</v>
      </c>
      <c r="CE83" s="123">
        <v>33.02</v>
      </c>
      <c r="CF83" s="139">
        <v>41.1183333333333</v>
      </c>
      <c r="CG83" s="123">
        <v>0.71</v>
      </c>
      <c r="CH83" s="123">
        <v>71</v>
      </c>
      <c r="CI83" s="123">
        <v>56.0591666666666</v>
      </c>
      <c r="CJ83" s="123">
        <v>0.61316636443368</v>
      </c>
      <c r="CK83" s="123">
        <v>61.316636443368</v>
      </c>
      <c r="CL83" s="123">
        <v>0.68411</v>
      </c>
      <c r="CM83" s="123">
        <v>68.411</v>
      </c>
      <c r="CN83" s="123">
        <v>0.4384</v>
      </c>
      <c r="CO83" s="123">
        <v>43.84</v>
      </c>
      <c r="CP83" s="123">
        <v>97.5</v>
      </c>
      <c r="CQ83" s="197">
        <v>35.41</v>
      </c>
      <c r="CR83" s="123">
        <v>67.766909110842</v>
      </c>
      <c r="CS83" s="123">
        <v>71.6756709383754</v>
      </c>
      <c r="CT83" s="186"/>
      <c r="CU83" s="186"/>
      <c r="CV83" s="186"/>
      <c r="CW83" s="186">
        <v>0</v>
      </c>
      <c r="CX83" s="143">
        <v>0</v>
      </c>
      <c r="CY83" s="180">
        <v>1</v>
      </c>
      <c r="CZ83" s="143">
        <v>100</v>
      </c>
      <c r="DA83" s="180">
        <v>1</v>
      </c>
      <c r="DB83" s="143">
        <v>100</v>
      </c>
      <c r="DC83" s="181">
        <v>1</v>
      </c>
      <c r="DD83" s="123">
        <v>100</v>
      </c>
      <c r="DE83" s="126"/>
      <c r="DF83" s="123">
        <v>0</v>
      </c>
      <c r="DG83" s="144">
        <v>0</v>
      </c>
      <c r="DH83" s="144">
        <v>0</v>
      </c>
      <c r="DI83" s="123">
        <v>0</v>
      </c>
      <c r="DJ83" s="143">
        <v>0</v>
      </c>
      <c r="DK83" s="123"/>
      <c r="DL83" s="123">
        <v>0</v>
      </c>
      <c r="DM83" s="123">
        <v>0</v>
      </c>
      <c r="DN83" s="123"/>
      <c r="DO83" s="123">
        <v>0</v>
      </c>
      <c r="DP83" s="143">
        <v>0</v>
      </c>
      <c r="DQ83" s="123"/>
      <c r="DR83" s="123">
        <v>0</v>
      </c>
      <c r="DS83" s="145"/>
      <c r="DT83" s="143">
        <v>0</v>
      </c>
      <c r="DU83" s="194">
        <v>0</v>
      </c>
      <c r="DV83" s="146">
        <v>0</v>
      </c>
      <c r="DW83" s="190">
        <v>0</v>
      </c>
      <c r="DX83" s="147">
        <v>0</v>
      </c>
      <c r="DY83" s="147">
        <v>0</v>
      </c>
      <c r="DZ83" s="157">
        <v>4</v>
      </c>
      <c r="EA83" s="126"/>
      <c r="EB83" s="126"/>
      <c r="EC83" s="123">
        <v>0</v>
      </c>
      <c r="ED83" s="123">
        <v>0</v>
      </c>
      <c r="EE83" s="123"/>
      <c r="EF83" s="123"/>
      <c r="EG83" s="123"/>
      <c r="EH83" s="123"/>
      <c r="EI83" s="123"/>
      <c r="EJ83" s="123">
        <v>365</v>
      </c>
      <c r="EK83" s="123"/>
      <c r="EL83" s="123"/>
      <c r="EM83" s="150"/>
      <c r="EN83" s="150"/>
      <c r="EO83" s="150"/>
      <c r="EP83" s="150"/>
      <c r="EQ83" s="216" t="s">
        <v>596</v>
      </c>
      <c r="ER83" s="123">
        <v>76.9777777777778</v>
      </c>
      <c r="ES83" s="123"/>
      <c r="ET83" s="123"/>
      <c r="EU83" s="123"/>
      <c r="EV83" s="123"/>
      <c r="EW83" s="123"/>
      <c r="EX83" s="123"/>
      <c r="EY83" s="123"/>
      <c r="EZ83" s="123"/>
      <c r="FA83" s="123"/>
      <c r="FB83" s="123"/>
      <c r="FC83" s="123"/>
      <c r="FD83" s="123"/>
      <c r="FE83" s="123"/>
      <c r="FF83" s="123"/>
      <c r="FG83" s="123"/>
      <c r="FH83" s="123"/>
      <c r="FI83" s="123"/>
      <c r="FJ83" s="123"/>
      <c r="FK83" s="123"/>
      <c r="FL83" s="123"/>
      <c r="FM83" s="123"/>
      <c r="FN83" s="123"/>
      <c r="FO83" s="123"/>
      <c r="FP83" s="123"/>
      <c r="FQ83" s="123"/>
      <c r="FR83" s="123"/>
      <c r="FS83" s="123"/>
      <c r="FT83" s="123"/>
      <c r="FU83" s="150"/>
      <c r="FV83" s="123"/>
      <c r="FW83" s="123"/>
      <c r="FX83" s="151"/>
      <c r="FY83" s="151"/>
      <c r="FZ83" s="151"/>
      <c r="GA83" s="151">
        <v>4.90566</v>
      </c>
      <c r="GB83" s="123">
        <v>0.203846169526628</v>
      </c>
      <c r="GC83" s="123"/>
      <c r="GD83" s="123">
        <v>20.3846169526628</v>
      </c>
      <c r="GE83" s="123">
        <v>0.912</v>
      </c>
      <c r="GF83" s="123">
        <v>0.962</v>
      </c>
      <c r="GG83" s="126">
        <v>93.7</v>
      </c>
      <c r="GV83" s="123">
        <v>252</v>
      </c>
      <c r="HA83" s="123">
        <v>34</v>
      </c>
      <c r="HF83" s="123">
        <v>9</v>
      </c>
      <c r="HK83" s="123">
        <v>22</v>
      </c>
    </row>
    <row r="84" s="125" customFormat="1" spans="1:219">
      <c r="A84" s="198"/>
      <c r="B84" s="199"/>
      <c r="C84" s="199"/>
      <c r="D84" s="199"/>
      <c r="E84" s="199"/>
      <c r="F84" s="199"/>
      <c r="G84" s="200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50"/>
      <c r="T84" s="150"/>
      <c r="U84" s="150"/>
      <c r="V84" s="150"/>
      <c r="W84" s="125"/>
      <c r="X84" s="125"/>
      <c r="Y84" s="125"/>
      <c r="Z84" s="125"/>
      <c r="AA84" s="125"/>
      <c r="AB84" s="125"/>
      <c r="AC84" s="201"/>
      <c r="AD84" s="201"/>
      <c r="AE84" s="201"/>
      <c r="AF84" s="201"/>
      <c r="AG84" s="201"/>
      <c r="AH84" s="201"/>
      <c r="AI84" s="201"/>
      <c r="AJ84" s="202"/>
      <c r="AK84" s="202"/>
      <c r="AL84" s="202"/>
      <c r="AM84" s="202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203"/>
      <c r="BP84" s="125"/>
      <c r="BQ84" s="125"/>
      <c r="BR84" s="125"/>
      <c r="BS84" s="125"/>
      <c r="BT84" s="125"/>
      <c r="BU84" s="125"/>
      <c r="BV84" s="125"/>
      <c r="BW84" s="125"/>
      <c r="BX84" s="125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203"/>
      <c r="CJ84" s="203"/>
      <c r="CK84" s="125"/>
      <c r="CL84" s="125"/>
      <c r="CM84" s="125"/>
      <c r="CN84" s="125"/>
      <c r="CO84" s="125"/>
      <c r="CP84" s="125"/>
      <c r="CQ84" s="125"/>
      <c r="CR84" s="125"/>
      <c r="CS84" s="125"/>
      <c r="CT84" s="204"/>
      <c r="CU84" s="204"/>
      <c r="CV84" s="204"/>
      <c r="CW84" s="204"/>
      <c r="CX84" s="125"/>
      <c r="CY84" s="125"/>
      <c r="CZ84" s="143"/>
      <c r="DA84" s="125"/>
      <c r="DB84" s="125"/>
      <c r="DC84" s="125"/>
      <c r="DD84" s="125"/>
      <c r="DE84" s="125"/>
      <c r="DF84" s="125"/>
      <c r="DG84" s="125"/>
      <c r="DH84" s="125"/>
      <c r="DI84" s="125"/>
      <c r="DJ84" s="125"/>
      <c r="DK84" s="125"/>
      <c r="DL84" s="125"/>
      <c r="DM84" s="125"/>
      <c r="DN84" s="125"/>
      <c r="DO84" s="125"/>
      <c r="DP84" s="125"/>
      <c r="DQ84" s="125"/>
      <c r="DR84" s="125"/>
      <c r="DS84" s="205"/>
      <c r="DT84" s="125"/>
      <c r="DU84" s="125"/>
      <c r="DV84" s="125"/>
      <c r="DW84" s="125"/>
      <c r="DX84" s="203"/>
      <c r="DY84" s="203"/>
      <c r="DZ84" s="203"/>
      <c r="EA84" s="206"/>
      <c r="EB84" s="206"/>
      <c r="EC84" s="206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203"/>
    </row>
    <row r="85" s="123" customFormat="1" spans="1:219">
      <c r="A85" s="196"/>
      <c r="B85" s="138"/>
      <c r="C85" s="138"/>
      <c r="D85" s="138"/>
      <c r="E85" s="138"/>
      <c r="F85" s="138"/>
      <c r="G85" s="140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  <c r="BD85" s="123"/>
      <c r="BE85" s="123"/>
      <c r="BF85" s="123"/>
      <c r="BG85" s="123"/>
      <c r="BH85" s="123"/>
      <c r="BI85" s="123"/>
      <c r="BJ85" s="123"/>
      <c r="BK85" s="123"/>
      <c r="BL85" s="123"/>
      <c r="BM85" s="123"/>
      <c r="BN85" s="123"/>
      <c r="BO85" s="123"/>
      <c r="BP85" s="123"/>
      <c r="BQ85" s="123"/>
      <c r="BR85" s="123"/>
      <c r="BS85" s="123"/>
      <c r="BT85" s="123"/>
      <c r="BU85" s="123"/>
      <c r="BV85" s="123"/>
      <c r="BW85" s="123"/>
      <c r="BX85" s="123"/>
      <c r="BY85" s="123"/>
      <c r="BZ85" s="123"/>
      <c r="CA85" s="123"/>
      <c r="CB85" s="123"/>
      <c r="CC85" s="123"/>
      <c r="CD85" s="123"/>
      <c r="CE85" s="123"/>
      <c r="CF85" s="123"/>
      <c r="CG85" s="123"/>
      <c r="CH85" s="123"/>
      <c r="CI85" s="123"/>
      <c r="CJ85" s="123"/>
      <c r="CK85" s="123"/>
      <c r="CL85" s="123"/>
      <c r="CM85" s="123"/>
      <c r="CN85" s="123"/>
      <c r="CO85" s="123"/>
      <c r="CP85" s="123"/>
      <c r="CQ85" s="123"/>
      <c r="CR85" s="123"/>
      <c r="CS85" s="123"/>
      <c r="CT85" s="207"/>
      <c r="CU85" s="207"/>
      <c r="CV85" s="207"/>
      <c r="CW85" s="207"/>
      <c r="CX85" s="123"/>
      <c r="CY85" s="123"/>
      <c r="CZ85" s="123"/>
      <c r="DA85" s="123"/>
      <c r="DB85" s="123"/>
      <c r="DC85" s="123"/>
      <c r="DD85" s="123"/>
      <c r="DE85" s="123"/>
      <c r="DF85" s="123"/>
      <c r="DG85" s="123"/>
      <c r="DH85" s="123"/>
      <c r="DI85" s="123"/>
      <c r="DJ85" s="123"/>
      <c r="DK85" s="123"/>
      <c r="DL85" s="123"/>
      <c r="DM85" s="123"/>
      <c r="DN85" s="123"/>
      <c r="DO85" s="123"/>
      <c r="DP85" s="123"/>
      <c r="DQ85" s="123"/>
      <c r="DR85" s="123"/>
      <c r="DS85" s="145"/>
    </row>
    <row r="86" s="123" customFormat="1" spans="1:219">
      <c r="A86" s="196"/>
      <c r="B86" s="138"/>
      <c r="C86" s="138"/>
      <c r="D86" s="138"/>
      <c r="E86" s="138"/>
      <c r="F86" s="138"/>
      <c r="G86" s="140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3"/>
      <c r="AT86" s="123"/>
      <c r="AU86" s="123"/>
      <c r="AV86" s="123"/>
      <c r="AW86" s="123"/>
      <c r="AX86" s="123"/>
      <c r="AY86" s="123"/>
      <c r="AZ86" s="123"/>
      <c r="BA86" s="123"/>
      <c r="BB86" s="123"/>
      <c r="BC86" s="123"/>
      <c r="BD86" s="123"/>
      <c r="BE86" s="123"/>
      <c r="BF86" s="123"/>
      <c r="BG86" s="123"/>
      <c r="BH86" s="123"/>
      <c r="BI86" s="123"/>
      <c r="BJ86" s="123"/>
      <c r="BK86" s="123"/>
      <c r="BL86" s="123"/>
      <c r="BM86" s="123"/>
      <c r="BN86" s="123"/>
      <c r="BO86" s="123"/>
      <c r="BP86" s="123"/>
      <c r="BQ86" s="123"/>
      <c r="BR86" s="123"/>
      <c r="BS86" s="123"/>
      <c r="BT86" s="123"/>
      <c r="BU86" s="123"/>
      <c r="BV86" s="123"/>
      <c r="BW86" s="123"/>
      <c r="BX86" s="123"/>
      <c r="BY86" s="123"/>
      <c r="BZ86" s="123"/>
      <c r="CA86" s="123"/>
      <c r="CB86" s="123"/>
      <c r="CC86" s="123"/>
      <c r="CD86" s="123"/>
      <c r="CE86" s="123"/>
      <c r="CF86" s="123"/>
      <c r="CG86" s="123"/>
      <c r="CH86" s="123"/>
      <c r="CI86" s="123"/>
      <c r="CJ86" s="123"/>
      <c r="CK86" s="123"/>
      <c r="CL86" s="123"/>
      <c r="CM86" s="123"/>
      <c r="CN86" s="123"/>
      <c r="CO86" s="123"/>
      <c r="CP86" s="123"/>
      <c r="CQ86" s="123"/>
      <c r="CR86" s="123"/>
      <c r="CS86" s="123"/>
      <c r="CT86" s="208"/>
      <c r="CU86" s="208"/>
      <c r="CV86" s="208"/>
      <c r="CW86" s="208"/>
      <c r="CX86" s="123"/>
      <c r="CY86" s="123"/>
      <c r="CZ86" s="123"/>
      <c r="DA86" s="123"/>
      <c r="DB86" s="123"/>
      <c r="DC86" s="123"/>
      <c r="DD86" s="123"/>
      <c r="DE86" s="123"/>
      <c r="DF86" s="123"/>
      <c r="DG86" s="123"/>
      <c r="DH86" s="123"/>
      <c r="DI86" s="123"/>
      <c r="DJ86" s="123"/>
      <c r="DK86" s="123"/>
      <c r="DL86" s="123"/>
      <c r="DM86" s="123"/>
      <c r="DN86" s="123"/>
      <c r="DO86" s="123"/>
      <c r="DP86" s="123"/>
      <c r="DQ86" s="123"/>
      <c r="DR86" s="123"/>
      <c r="DS86" s="145"/>
      <c r="DT86" s="123"/>
      <c r="DU86" s="123"/>
      <c r="DV86" s="123"/>
      <c r="DW86" s="123"/>
      <c r="DX86" s="123"/>
      <c r="DY86" s="123"/>
      <c r="DZ86" s="123"/>
      <c r="EA86" s="123"/>
      <c r="EB86" s="123"/>
      <c r="EC86" s="123"/>
      <c r="ED86" s="123"/>
      <c r="EE86" s="123"/>
      <c r="EF86" s="123"/>
      <c r="EG86" s="123"/>
      <c r="EH86" s="123"/>
      <c r="EI86" s="123"/>
      <c r="EJ86" s="123"/>
      <c r="EK86" s="123"/>
      <c r="EL86" s="123"/>
      <c r="EM86" s="123"/>
      <c r="EN86" s="123"/>
      <c r="EO86" s="123"/>
      <c r="EP86" s="123"/>
      <c r="EQ86" s="123"/>
      <c r="ER86" s="123"/>
      <c r="ES86" s="123"/>
      <c r="ET86" s="123"/>
      <c r="EU86" s="123"/>
      <c r="EV86" s="123"/>
      <c r="EW86" s="123"/>
      <c r="EX86" s="123"/>
      <c r="EY86" s="123"/>
      <c r="EZ86" s="123"/>
      <c r="FA86" s="123"/>
      <c r="FB86" s="123"/>
      <c r="FC86" s="123"/>
      <c r="FD86" s="123"/>
      <c r="FE86" s="123"/>
      <c r="FF86" s="123"/>
      <c r="FG86" s="123"/>
      <c r="FH86" s="123"/>
      <c r="FI86" s="123"/>
      <c r="FJ86" s="123"/>
      <c r="FK86" s="123"/>
      <c r="FL86" s="123"/>
      <c r="FM86" s="123"/>
      <c r="FN86" s="123"/>
      <c r="FO86" s="123"/>
      <c r="FP86" s="123"/>
      <c r="FQ86" s="123"/>
      <c r="FR86" s="123"/>
      <c r="FS86" s="123"/>
      <c r="FT86" s="123"/>
      <c r="FU86" s="123"/>
      <c r="FV86" s="123"/>
      <c r="FW86" s="123"/>
      <c r="FX86" s="123"/>
      <c r="FY86" s="123"/>
      <c r="FZ86" s="123"/>
      <c r="GA86" s="123"/>
      <c r="GB86" s="150"/>
      <c r="GC86" s="150"/>
      <c r="GD86" s="150"/>
      <c r="GE86" s="150"/>
    </row>
    <row r="87" s="123" customFormat="1" spans="1:219">
      <c r="A87" s="137"/>
      <c r="B87" s="138"/>
      <c r="C87" s="138"/>
      <c r="D87" s="138"/>
      <c r="E87" s="138"/>
      <c r="F87" s="138"/>
      <c r="G87" s="140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3"/>
      <c r="AT87" s="123"/>
      <c r="AU87" s="123"/>
      <c r="AV87" s="123"/>
      <c r="AW87" s="123"/>
      <c r="AX87" s="123"/>
      <c r="AY87" s="123"/>
      <c r="AZ87" s="123"/>
      <c r="BA87" s="123"/>
      <c r="BB87" s="123"/>
      <c r="BC87" s="123"/>
      <c r="BD87" s="123"/>
      <c r="BE87" s="123"/>
      <c r="BF87" s="123"/>
      <c r="BG87" s="123"/>
      <c r="BH87" s="123"/>
      <c r="BI87" s="123"/>
      <c r="BJ87" s="123"/>
      <c r="BK87" s="123"/>
      <c r="BL87" s="123"/>
      <c r="BM87" s="123"/>
      <c r="BN87" s="123"/>
      <c r="BO87" s="123"/>
      <c r="BP87" s="123"/>
      <c r="BQ87" s="123"/>
      <c r="BR87" s="123"/>
      <c r="BS87" s="123"/>
      <c r="BT87" s="123"/>
      <c r="BU87" s="123"/>
      <c r="BV87" s="123"/>
      <c r="BW87" s="123"/>
      <c r="BX87" s="123"/>
      <c r="BY87" s="123"/>
      <c r="BZ87" s="123"/>
      <c r="CA87" s="123"/>
      <c r="CB87" s="123"/>
      <c r="CC87" s="123"/>
      <c r="CD87" s="123"/>
      <c r="CE87" s="123"/>
      <c r="CF87" s="123"/>
      <c r="CG87" s="123"/>
      <c r="CH87" s="123"/>
      <c r="CI87" s="123"/>
      <c r="CJ87" s="123"/>
      <c r="CK87" s="123"/>
      <c r="CL87" s="123"/>
      <c r="CM87" s="123"/>
      <c r="CN87" s="123"/>
      <c r="CO87" s="123"/>
      <c r="CP87" s="123"/>
      <c r="CQ87" s="123"/>
      <c r="CR87" s="123"/>
      <c r="CS87" s="123"/>
      <c r="CT87" s="208"/>
      <c r="CU87" s="208"/>
      <c r="CV87" s="208"/>
      <c r="CW87" s="208"/>
      <c r="CX87" s="123"/>
      <c r="CY87" s="123"/>
      <c r="CZ87" s="123"/>
      <c r="DA87" s="123"/>
      <c r="DB87" s="123"/>
      <c r="DC87" s="123"/>
      <c r="DD87" s="123"/>
      <c r="DE87" s="123"/>
      <c r="DF87" s="123"/>
      <c r="DG87" s="123"/>
      <c r="DH87" s="123"/>
      <c r="DI87" s="123"/>
      <c r="DJ87" s="123"/>
      <c r="DK87" s="123"/>
      <c r="DL87" s="123"/>
      <c r="DM87" s="123"/>
      <c r="DN87" s="123"/>
      <c r="DO87" s="123"/>
      <c r="DP87" s="123"/>
      <c r="DQ87" s="123"/>
      <c r="DR87" s="123"/>
      <c r="DS87" s="145"/>
    </row>
    <row r="88" s="123" customFormat="1" spans="1:219">
      <c r="A88" s="137"/>
      <c r="B88" s="209"/>
      <c r="C88" s="138"/>
      <c r="D88" s="138"/>
      <c r="E88" s="138"/>
      <c r="F88" s="138"/>
      <c r="G88" s="140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23"/>
      <c r="AM88" s="123"/>
      <c r="AN88" s="123"/>
      <c r="AO88" s="123"/>
      <c r="AP88" s="123"/>
      <c r="AQ88" s="123"/>
      <c r="AR88" s="123"/>
      <c r="AS88" s="123"/>
      <c r="AT88" s="123"/>
      <c r="AU88" s="123"/>
      <c r="AV88" s="123"/>
      <c r="AW88" s="123"/>
      <c r="AX88" s="123"/>
      <c r="AY88" s="123"/>
      <c r="AZ88" s="123"/>
      <c r="BA88" s="123"/>
      <c r="BB88" s="123"/>
      <c r="BC88" s="123"/>
      <c r="BD88" s="123"/>
      <c r="BE88" s="123"/>
      <c r="BF88" s="123"/>
      <c r="BG88" s="123"/>
      <c r="BH88" s="123"/>
      <c r="BI88" s="123"/>
      <c r="BJ88" s="123"/>
      <c r="BK88" s="123"/>
      <c r="BL88" s="123"/>
      <c r="BM88" s="123"/>
      <c r="BN88" s="123"/>
      <c r="BO88" s="123"/>
      <c r="BP88" s="123"/>
      <c r="BQ88" s="123"/>
      <c r="BR88" s="123"/>
      <c r="BS88" s="123"/>
      <c r="BT88" s="123"/>
      <c r="BU88" s="123"/>
      <c r="BV88" s="123"/>
      <c r="BW88" s="123"/>
      <c r="BX88" s="123"/>
      <c r="BY88" s="123"/>
      <c r="BZ88" s="123"/>
      <c r="CA88" s="123"/>
      <c r="CB88" s="123"/>
      <c r="CC88" s="123"/>
      <c r="CD88" s="123"/>
      <c r="CE88" s="123"/>
      <c r="CF88" s="123"/>
      <c r="CG88" s="123"/>
      <c r="CH88" s="123"/>
      <c r="CI88" s="123"/>
      <c r="CJ88" s="123"/>
      <c r="CK88" s="123"/>
      <c r="CL88" s="123"/>
      <c r="CM88" s="123"/>
      <c r="CN88" s="123"/>
      <c r="CO88" s="123"/>
      <c r="CP88" s="123"/>
      <c r="CQ88" s="123"/>
      <c r="CR88" s="123"/>
      <c r="CS88" s="123"/>
      <c r="CT88" s="208"/>
      <c r="CU88" s="208"/>
      <c r="CV88" s="208"/>
      <c r="CW88" s="208"/>
      <c r="CX88" s="123"/>
      <c r="CY88" s="123"/>
      <c r="CZ88" s="123"/>
      <c r="DA88" s="123"/>
      <c r="DB88" s="123"/>
      <c r="DC88" s="123"/>
      <c r="DD88" s="123"/>
      <c r="DE88" s="123"/>
      <c r="DF88" s="123"/>
      <c r="DG88" s="123"/>
      <c r="DH88" s="123"/>
      <c r="DI88" s="123"/>
      <c r="DJ88" s="123"/>
      <c r="DK88" s="123"/>
      <c r="DL88" s="123"/>
      <c r="DM88" s="123"/>
      <c r="DN88" s="123"/>
      <c r="DO88" s="123"/>
      <c r="DP88" s="123"/>
      <c r="DQ88" s="123"/>
      <c r="DR88" s="123"/>
      <c r="DS88" s="145"/>
    </row>
    <row r="89" s="123" customFormat="1" spans="1:219">
      <c r="A89" s="137"/>
      <c r="B89" s="138"/>
      <c r="C89" s="138"/>
      <c r="D89" s="138"/>
      <c r="E89" s="138"/>
      <c r="F89" s="138"/>
      <c r="G89" s="140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  <c r="AE89" s="123"/>
      <c r="AF89" s="123"/>
      <c r="AG89" s="123"/>
      <c r="AH89" s="123"/>
      <c r="AI89" s="123"/>
      <c r="AJ89" s="123"/>
      <c r="AK89" s="123"/>
      <c r="AL89" s="123"/>
      <c r="AM89" s="123"/>
      <c r="AN89" s="123"/>
      <c r="AO89" s="123"/>
      <c r="AP89" s="123"/>
      <c r="AQ89" s="123"/>
      <c r="AR89" s="123"/>
      <c r="AS89" s="123"/>
      <c r="AT89" s="123"/>
      <c r="AU89" s="123"/>
      <c r="AV89" s="123"/>
      <c r="AW89" s="123"/>
      <c r="AX89" s="123"/>
      <c r="AY89" s="123"/>
      <c r="AZ89" s="123"/>
      <c r="BA89" s="123"/>
      <c r="BB89" s="123"/>
      <c r="BC89" s="123"/>
      <c r="BD89" s="123"/>
      <c r="BE89" s="123"/>
      <c r="BF89" s="123"/>
      <c r="BG89" s="123"/>
      <c r="BH89" s="123"/>
      <c r="BI89" s="123"/>
      <c r="BJ89" s="123"/>
      <c r="BK89" s="123"/>
      <c r="BL89" s="123"/>
      <c r="BM89" s="123"/>
      <c r="BN89" s="123"/>
      <c r="BO89" s="123"/>
      <c r="BP89" s="123"/>
      <c r="BQ89" s="123"/>
      <c r="BR89" s="123"/>
      <c r="BS89" s="123"/>
      <c r="BT89" s="123"/>
      <c r="BU89" s="123"/>
      <c r="BV89" s="123"/>
      <c r="BW89" s="123"/>
      <c r="BX89" s="123"/>
      <c r="BY89" s="123"/>
      <c r="BZ89" s="123"/>
      <c r="CA89" s="123"/>
      <c r="CB89" s="123"/>
      <c r="CC89" s="123"/>
      <c r="CD89" s="123"/>
      <c r="CE89" s="123"/>
      <c r="CF89" s="123"/>
      <c r="CG89" s="123"/>
      <c r="CH89" s="123"/>
      <c r="CI89" s="123"/>
      <c r="CJ89" s="123"/>
      <c r="CK89" s="123"/>
      <c r="CL89" s="123"/>
      <c r="CM89" s="123"/>
      <c r="CN89" s="123"/>
      <c r="CO89" s="123"/>
      <c r="CP89" s="123"/>
      <c r="CQ89" s="123"/>
      <c r="CR89" s="123"/>
      <c r="CS89" s="123"/>
      <c r="CT89" s="208"/>
      <c r="CU89" s="208"/>
      <c r="CV89" s="208"/>
      <c r="CW89" s="208"/>
      <c r="CX89" s="123"/>
      <c r="CY89" s="123"/>
      <c r="CZ89" s="123"/>
      <c r="DA89" s="123"/>
      <c r="DB89" s="123"/>
      <c r="DC89" s="123"/>
      <c r="DD89" s="123"/>
      <c r="DE89" s="123"/>
      <c r="DF89" s="123"/>
      <c r="DG89" s="123"/>
      <c r="DH89" s="123"/>
      <c r="DI89" s="123"/>
      <c r="DJ89" s="123"/>
      <c r="DK89" s="123"/>
      <c r="DL89" s="123"/>
      <c r="DM89" s="123"/>
      <c r="DN89" s="123"/>
      <c r="DO89" s="123"/>
      <c r="DP89" s="123"/>
      <c r="DQ89" s="123"/>
      <c r="DR89" s="123"/>
      <c r="DS89" s="145"/>
    </row>
    <row r="90" s="123" customFormat="1" spans="1:219">
      <c r="A90" s="137"/>
      <c r="B90" s="138"/>
      <c r="C90" s="138"/>
      <c r="D90" s="138"/>
      <c r="E90" s="138"/>
      <c r="F90" s="138"/>
      <c r="G90" s="140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  <c r="AE90" s="123"/>
      <c r="AF90" s="123"/>
      <c r="AG90" s="123"/>
      <c r="AH90" s="123"/>
      <c r="AI90" s="123"/>
      <c r="AJ90" s="123"/>
      <c r="AK90" s="123"/>
      <c r="AL90" s="123"/>
      <c r="AM90" s="123"/>
      <c r="AN90" s="123"/>
      <c r="AO90" s="123"/>
      <c r="AP90" s="123"/>
      <c r="AQ90" s="123"/>
      <c r="AR90" s="123"/>
      <c r="AS90" s="123"/>
      <c r="AT90" s="123"/>
      <c r="AU90" s="123"/>
      <c r="AV90" s="123"/>
      <c r="AW90" s="123"/>
      <c r="AX90" s="123"/>
      <c r="AY90" s="123"/>
      <c r="AZ90" s="123"/>
      <c r="BA90" s="123"/>
      <c r="BB90" s="123"/>
      <c r="BC90" s="123"/>
      <c r="BD90" s="123"/>
      <c r="BE90" s="123"/>
      <c r="BF90" s="123"/>
      <c r="BG90" s="123"/>
      <c r="BH90" s="123"/>
      <c r="BI90" s="123"/>
      <c r="BJ90" s="123"/>
      <c r="BK90" s="123"/>
      <c r="BL90" s="123"/>
      <c r="BM90" s="123"/>
      <c r="BN90" s="123"/>
      <c r="BO90" s="123"/>
      <c r="BP90" s="123"/>
      <c r="BQ90" s="123"/>
      <c r="BR90" s="123"/>
      <c r="BS90" s="123"/>
      <c r="BT90" s="123"/>
      <c r="BU90" s="123"/>
      <c r="BV90" s="123"/>
      <c r="BW90" s="123"/>
      <c r="BX90" s="123"/>
      <c r="BY90" s="123"/>
      <c r="BZ90" s="123"/>
      <c r="CA90" s="123"/>
      <c r="CB90" s="123"/>
      <c r="CC90" s="123"/>
      <c r="CD90" s="123"/>
      <c r="CE90" s="123"/>
      <c r="CF90" s="123"/>
      <c r="CG90" s="123"/>
      <c r="CH90" s="123"/>
      <c r="CI90" s="123"/>
      <c r="CJ90" s="123"/>
      <c r="CK90" s="123"/>
      <c r="CL90" s="123"/>
      <c r="CM90" s="123"/>
      <c r="CN90" s="123"/>
      <c r="CO90" s="123"/>
      <c r="CP90" s="123"/>
      <c r="CQ90" s="123"/>
      <c r="CR90" s="123"/>
      <c r="CS90" s="123"/>
      <c r="CT90" s="208"/>
      <c r="CU90" s="208"/>
      <c r="CV90" s="208"/>
      <c r="CW90" s="208"/>
      <c r="CX90" s="123"/>
      <c r="CY90" s="123"/>
      <c r="CZ90" s="123"/>
      <c r="DA90" s="123"/>
      <c r="DB90" s="123"/>
      <c r="DC90" s="123"/>
      <c r="DD90" s="123"/>
      <c r="DE90" s="123"/>
      <c r="DF90" s="123"/>
      <c r="DG90" s="123"/>
      <c r="DH90" s="123"/>
      <c r="DI90" s="123"/>
      <c r="DJ90" s="123"/>
      <c r="DK90" s="123"/>
      <c r="DL90" s="123"/>
      <c r="DM90" s="123"/>
      <c r="DN90" s="123"/>
      <c r="DO90" s="123"/>
      <c r="DP90" s="123"/>
      <c r="DQ90" s="123"/>
      <c r="DR90" s="123"/>
      <c r="DS90" s="145"/>
    </row>
    <row r="91" s="123" customFormat="1" spans="1:219">
      <c r="A91" s="137"/>
      <c r="B91" s="138"/>
      <c r="C91" s="138"/>
      <c r="D91" s="138"/>
      <c r="E91" s="138"/>
      <c r="F91" s="138"/>
      <c r="G91" s="140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  <c r="AC91" s="123"/>
      <c r="AD91" s="123"/>
      <c r="AE91" s="123"/>
      <c r="AF91" s="123"/>
      <c r="AG91" s="123"/>
      <c r="AH91" s="123"/>
      <c r="AI91" s="123"/>
      <c r="AJ91" s="123"/>
      <c r="AK91" s="123"/>
      <c r="AL91" s="123"/>
      <c r="AM91" s="123"/>
      <c r="AN91" s="123"/>
      <c r="AO91" s="123"/>
      <c r="AP91" s="123"/>
      <c r="AQ91" s="123"/>
      <c r="AR91" s="123"/>
      <c r="AS91" s="123"/>
      <c r="AT91" s="123"/>
      <c r="AU91" s="123"/>
      <c r="AV91" s="123"/>
      <c r="AW91" s="123"/>
      <c r="AX91" s="123"/>
      <c r="AY91" s="123"/>
      <c r="AZ91" s="123"/>
      <c r="BA91" s="123"/>
      <c r="BB91" s="123"/>
      <c r="BC91" s="123"/>
      <c r="BD91" s="123"/>
      <c r="BE91" s="123"/>
      <c r="BF91" s="123"/>
      <c r="BG91" s="123"/>
      <c r="BH91" s="123"/>
      <c r="BI91" s="123"/>
      <c r="BJ91" s="123"/>
      <c r="BK91" s="123"/>
      <c r="BL91" s="123"/>
      <c r="BM91" s="123"/>
      <c r="BN91" s="123"/>
      <c r="BO91" s="123"/>
      <c r="BP91" s="123"/>
      <c r="BQ91" s="123"/>
      <c r="BR91" s="123"/>
      <c r="BS91" s="123"/>
      <c r="BT91" s="123"/>
      <c r="BU91" s="123"/>
      <c r="BV91" s="123"/>
      <c r="BW91" s="123"/>
      <c r="BX91" s="123"/>
      <c r="BY91" s="123"/>
      <c r="BZ91" s="123"/>
      <c r="CA91" s="123"/>
      <c r="CB91" s="123"/>
      <c r="CC91" s="123"/>
      <c r="CD91" s="123"/>
      <c r="CE91" s="123"/>
      <c r="CF91" s="123"/>
      <c r="CG91" s="123"/>
      <c r="CH91" s="123"/>
      <c r="CI91" s="123"/>
      <c r="CJ91" s="123"/>
      <c r="CK91" s="123"/>
      <c r="CL91" s="123"/>
      <c r="CM91" s="123"/>
      <c r="CN91" s="123"/>
      <c r="CO91" s="123"/>
      <c r="CP91" s="123"/>
      <c r="CQ91" s="123"/>
      <c r="CR91" s="123"/>
      <c r="CS91" s="123"/>
      <c r="CT91" s="208"/>
      <c r="CU91" s="208"/>
      <c r="CV91" s="208"/>
      <c r="CW91" s="208"/>
      <c r="CX91" s="123"/>
      <c r="CY91" s="123"/>
      <c r="CZ91" s="123"/>
      <c r="DA91" s="123"/>
      <c r="DB91" s="123"/>
      <c r="DC91" s="123"/>
      <c r="DD91" s="123"/>
      <c r="DE91" s="123"/>
      <c r="DF91" s="123"/>
      <c r="DG91" s="123"/>
      <c r="DH91" s="123"/>
      <c r="DI91" s="123"/>
      <c r="DJ91" s="123"/>
      <c r="DK91" s="123"/>
      <c r="DL91" s="123"/>
      <c r="DM91" s="123"/>
      <c r="DN91" s="123"/>
      <c r="DO91" s="123"/>
      <c r="DP91" s="123"/>
      <c r="DQ91" s="123"/>
      <c r="DR91" s="123"/>
      <c r="DS91" s="145"/>
    </row>
    <row r="92" s="126" customFormat="1" spans="1:219">
      <c r="B92" s="123"/>
      <c r="C92" s="126"/>
      <c r="D92" s="126"/>
      <c r="E92" s="126"/>
      <c r="F92" s="126"/>
      <c r="G92" s="126"/>
      <c r="H92" s="126"/>
      <c r="I92" s="126"/>
      <c r="J92" s="126"/>
      <c r="K92" s="126"/>
      <c r="L92" s="123"/>
      <c r="M92" s="126"/>
      <c r="N92" s="126"/>
      <c r="O92" s="126"/>
      <c r="P92" s="126"/>
      <c r="Q92" s="126"/>
      <c r="R92" s="123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  <c r="AP92" s="126"/>
      <c r="AQ92" s="126"/>
      <c r="AR92" s="126"/>
      <c r="AS92" s="126"/>
      <c r="AT92" s="126"/>
      <c r="AU92" s="126"/>
      <c r="AV92" s="126"/>
      <c r="AW92" s="126"/>
      <c r="AX92" s="126"/>
      <c r="AY92" s="126"/>
      <c r="AZ92" s="126"/>
      <c r="BA92" s="126"/>
      <c r="BB92" s="126"/>
      <c r="BC92" s="126"/>
      <c r="BD92" s="126"/>
      <c r="BE92" s="126"/>
      <c r="BF92" s="126"/>
      <c r="BG92" s="126"/>
      <c r="BH92" s="126"/>
      <c r="BI92" s="126"/>
      <c r="BJ92" s="126"/>
      <c r="BK92" s="126"/>
      <c r="BL92" s="126"/>
      <c r="BM92" s="126"/>
      <c r="BN92" s="126"/>
      <c r="BO92" s="126"/>
      <c r="BP92" s="126"/>
      <c r="BQ92" s="126"/>
      <c r="BR92" s="126"/>
      <c r="BS92" s="126"/>
      <c r="BT92" s="126"/>
      <c r="BU92" s="126"/>
      <c r="BV92" s="126"/>
      <c r="BW92" s="126"/>
      <c r="BX92" s="126"/>
      <c r="BY92" s="126"/>
      <c r="BZ92" s="126"/>
      <c r="CA92" s="126"/>
      <c r="CB92" s="126"/>
      <c r="CC92" s="126"/>
      <c r="CD92" s="126"/>
      <c r="CE92" s="126"/>
      <c r="CF92" s="126"/>
      <c r="CG92" s="126"/>
      <c r="CH92" s="126"/>
      <c r="CI92" s="126"/>
      <c r="CJ92" s="126"/>
      <c r="CK92" s="126"/>
      <c r="CL92" s="126"/>
      <c r="CM92" s="126"/>
      <c r="CN92" s="126"/>
      <c r="CO92" s="126"/>
      <c r="CP92" s="126"/>
      <c r="CQ92" s="126"/>
      <c r="CR92" s="126"/>
      <c r="CS92" s="126"/>
      <c r="CT92" s="126"/>
      <c r="CU92" s="126"/>
      <c r="CV92" s="126"/>
      <c r="CW92" s="126"/>
      <c r="CX92" s="126"/>
      <c r="CY92" s="126"/>
      <c r="CZ92" s="126"/>
      <c r="DA92" s="126"/>
      <c r="DB92" s="126"/>
      <c r="DC92" s="126"/>
      <c r="DD92" s="126"/>
      <c r="DE92" s="126"/>
      <c r="DF92" s="126"/>
      <c r="DG92" s="126"/>
      <c r="DH92" s="126"/>
      <c r="DI92" s="126"/>
      <c r="DJ92" s="126"/>
      <c r="DK92" s="126"/>
      <c r="DL92" s="126"/>
      <c r="DM92" s="126"/>
      <c r="DN92" s="126"/>
      <c r="DO92" s="126"/>
      <c r="DP92" s="126"/>
      <c r="DQ92" s="126"/>
      <c r="DR92" s="126"/>
      <c r="DS92" s="210"/>
      <c r="DT92" s="126"/>
      <c r="DU92" s="126"/>
      <c r="DV92" s="126"/>
      <c r="DW92" s="126"/>
      <c r="DX92" s="126"/>
      <c r="DY92" s="126"/>
      <c r="DZ92" s="126"/>
      <c r="EA92" s="126"/>
      <c r="EB92" s="126"/>
      <c r="EC92" s="126"/>
      <c r="ED92" s="126"/>
      <c r="EE92" s="126"/>
      <c r="EF92" s="126"/>
      <c r="EG92" s="126"/>
      <c r="EH92" s="126"/>
      <c r="EI92" s="126"/>
      <c r="EJ92" s="126"/>
      <c r="EK92" s="126"/>
      <c r="EL92" s="126"/>
      <c r="EM92" s="126"/>
      <c r="EN92" s="126"/>
      <c r="EO92" s="126"/>
      <c r="EP92" s="126"/>
      <c r="EQ92" s="126"/>
      <c r="ER92" s="126"/>
      <c r="ES92" s="126"/>
      <c r="ET92" s="126"/>
      <c r="EU92" s="126"/>
      <c r="EV92" s="126"/>
      <c r="EW92" s="126"/>
      <c r="EX92" s="126"/>
      <c r="EY92" s="126"/>
      <c r="EZ92" s="126"/>
      <c r="FA92" s="126"/>
      <c r="FB92" s="126"/>
      <c r="FC92" s="126"/>
      <c r="FD92" s="126"/>
      <c r="FE92" s="126"/>
      <c r="FF92" s="126"/>
      <c r="FG92" s="126"/>
      <c r="FH92" s="126"/>
      <c r="FI92" s="126"/>
      <c r="FJ92" s="126"/>
      <c r="FK92" s="126"/>
      <c r="FL92" s="126"/>
      <c r="FM92" s="126"/>
      <c r="FN92" s="126"/>
      <c r="FO92" s="126"/>
      <c r="FP92" s="126"/>
      <c r="FQ92" s="126"/>
      <c r="FR92" s="126"/>
      <c r="FS92" s="126"/>
      <c r="FT92" s="126"/>
      <c r="FU92" s="126"/>
      <c r="FV92" s="126"/>
      <c r="FW92" s="126"/>
      <c r="FX92" s="126"/>
      <c r="FY92" s="126"/>
      <c r="FZ92" s="126"/>
      <c r="GA92" s="123"/>
      <c r="GB92" s="126"/>
      <c r="GC92" s="126"/>
      <c r="GD92" s="126"/>
      <c r="GV92" s="123"/>
      <c r="GW92" s="123"/>
      <c r="GX92" s="123"/>
      <c r="GY92" s="123"/>
      <c r="GZ92" s="123"/>
      <c r="HA92" s="123"/>
      <c r="HK92" s="123"/>
    </row>
    <row r="93" s="126" customFormat="1" spans="1:219">
      <c r="B93" s="123"/>
      <c r="C93" s="126"/>
      <c r="D93" s="126"/>
      <c r="E93" s="126"/>
      <c r="F93" s="126"/>
      <c r="G93" s="126"/>
      <c r="H93" s="126"/>
      <c r="I93" s="126"/>
      <c r="J93" s="126"/>
      <c r="K93" s="126"/>
      <c r="L93" s="123"/>
      <c r="M93" s="126"/>
      <c r="N93" s="126"/>
      <c r="O93" s="126"/>
      <c r="P93" s="126"/>
      <c r="Q93" s="126"/>
      <c r="R93" s="123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  <c r="AP93" s="126"/>
      <c r="AQ93" s="126"/>
      <c r="AR93" s="126"/>
      <c r="AS93" s="126"/>
      <c r="AT93" s="126"/>
      <c r="AU93" s="126"/>
      <c r="AV93" s="126"/>
      <c r="AW93" s="126"/>
      <c r="AX93" s="126"/>
      <c r="AY93" s="126"/>
      <c r="AZ93" s="126"/>
      <c r="BA93" s="126"/>
      <c r="BB93" s="126"/>
      <c r="BC93" s="126"/>
      <c r="BD93" s="126"/>
      <c r="BE93" s="126"/>
      <c r="BF93" s="126"/>
      <c r="BG93" s="126"/>
      <c r="BH93" s="126"/>
      <c r="BI93" s="126"/>
      <c r="BJ93" s="126"/>
      <c r="BK93" s="126"/>
      <c r="BL93" s="126"/>
      <c r="BM93" s="123"/>
      <c r="BN93" s="126"/>
      <c r="BO93" s="126"/>
      <c r="BP93" s="126"/>
      <c r="BQ93" s="126"/>
      <c r="BR93" s="126"/>
      <c r="BS93" s="126"/>
      <c r="BT93" s="126"/>
      <c r="BU93" s="126"/>
      <c r="BV93" s="126"/>
      <c r="BW93" s="126"/>
      <c r="BX93" s="126"/>
      <c r="BY93" s="126"/>
      <c r="BZ93" s="126"/>
      <c r="CA93" s="126"/>
      <c r="CB93" s="126"/>
      <c r="CC93" s="126"/>
      <c r="CD93" s="126"/>
      <c r="CE93" s="126"/>
      <c r="CF93" s="126"/>
      <c r="CG93" s="126"/>
      <c r="CH93" s="126"/>
      <c r="CI93" s="126"/>
      <c r="CJ93" s="126"/>
      <c r="CK93" s="126"/>
      <c r="CL93" s="126"/>
      <c r="CM93" s="126"/>
      <c r="CN93" s="126"/>
      <c r="CO93" s="126"/>
      <c r="CP93" s="126"/>
      <c r="CQ93" s="126"/>
      <c r="CR93" s="126"/>
      <c r="CS93" s="126"/>
      <c r="CT93" s="126"/>
      <c r="CU93" s="126"/>
      <c r="CV93" s="126"/>
      <c r="CW93" s="126"/>
      <c r="CX93" s="126"/>
      <c r="CY93" s="126"/>
      <c r="CZ93" s="126"/>
      <c r="DA93" s="126"/>
      <c r="DB93" s="126"/>
      <c r="DC93" s="126"/>
      <c r="DD93" s="126"/>
      <c r="DE93" s="126"/>
      <c r="DF93" s="126"/>
      <c r="DG93" s="126"/>
      <c r="DH93" s="126"/>
      <c r="DI93" s="126"/>
      <c r="DJ93" s="126"/>
      <c r="DK93" s="126"/>
      <c r="DL93" s="126"/>
      <c r="DM93" s="126"/>
      <c r="DN93" s="126"/>
      <c r="DO93" s="126"/>
      <c r="DP93" s="126"/>
      <c r="DQ93" s="126"/>
      <c r="DR93" s="126"/>
      <c r="DS93" s="210"/>
      <c r="DT93" s="126"/>
      <c r="DU93" s="126"/>
      <c r="DV93" s="126"/>
      <c r="DW93" s="126"/>
      <c r="DX93" s="126"/>
      <c r="DY93" s="126"/>
      <c r="DZ93" s="126"/>
      <c r="EA93" s="126"/>
      <c r="EB93" s="126"/>
      <c r="EC93" s="126"/>
      <c r="ED93" s="126"/>
      <c r="EE93" s="126"/>
      <c r="EF93" s="126"/>
      <c r="EG93" s="126"/>
      <c r="EH93" s="126"/>
      <c r="EI93" s="126"/>
      <c r="EJ93" s="126"/>
      <c r="EK93" s="126"/>
      <c r="EL93" s="126"/>
      <c r="EM93" s="126"/>
      <c r="EN93" s="126"/>
      <c r="EO93" s="126"/>
      <c r="EP93" s="126"/>
      <c r="EQ93" s="126"/>
      <c r="ER93" s="126"/>
      <c r="ES93" s="126"/>
      <c r="ET93" s="126"/>
      <c r="EU93" s="126"/>
      <c r="EV93" s="126"/>
      <c r="EW93" s="126"/>
      <c r="EX93" s="126"/>
      <c r="EY93" s="126"/>
      <c r="EZ93" s="126"/>
      <c r="FA93" s="126"/>
      <c r="FB93" s="126"/>
      <c r="FC93" s="126"/>
      <c r="FD93" s="126"/>
      <c r="FE93" s="126"/>
      <c r="FF93" s="126"/>
      <c r="FG93" s="126"/>
      <c r="FH93" s="126"/>
      <c r="FI93" s="126"/>
      <c r="FJ93" s="126"/>
      <c r="FK93" s="126"/>
      <c r="FL93" s="126"/>
      <c r="FM93" s="126"/>
      <c r="FN93" s="126"/>
      <c r="FO93" s="126"/>
      <c r="FP93" s="126"/>
      <c r="FQ93" s="126"/>
      <c r="FR93" s="126"/>
      <c r="FS93" s="126"/>
      <c r="FT93" s="126"/>
      <c r="FU93" s="126"/>
      <c r="FV93" s="126"/>
      <c r="FW93" s="126"/>
      <c r="FX93" s="126"/>
      <c r="FY93" s="126"/>
      <c r="FZ93" s="126"/>
      <c r="GA93" s="123"/>
      <c r="GB93" s="126"/>
      <c r="GC93" s="126"/>
      <c r="GD93" s="126"/>
      <c r="GV93" s="123"/>
      <c r="GW93" s="123"/>
      <c r="GX93" s="123"/>
      <c r="GY93" s="123"/>
      <c r="GZ93" s="123"/>
      <c r="HA93" s="123"/>
      <c r="HB93" s="123"/>
      <c r="HC93" s="123"/>
      <c r="HD93" s="123"/>
      <c r="HE93" s="123"/>
      <c r="HF93" s="123"/>
      <c r="HG93" s="123"/>
      <c r="HH93" s="123"/>
      <c r="HI93" s="123"/>
      <c r="HJ93" s="123"/>
      <c r="HK93" s="123"/>
    </row>
    <row r="94" s="126" customFormat="1" spans="1:219">
      <c r="A94" s="142"/>
      <c r="B94" s="123"/>
      <c r="C94" s="126"/>
      <c r="D94" s="126"/>
      <c r="E94" s="126"/>
      <c r="F94" s="126"/>
      <c r="G94" s="126"/>
      <c r="H94" s="126"/>
      <c r="I94" s="126"/>
      <c r="J94" s="126"/>
      <c r="K94" s="126"/>
      <c r="L94" s="123"/>
      <c r="M94" s="126"/>
      <c r="N94" s="126"/>
      <c r="O94" s="126"/>
      <c r="P94" s="126"/>
      <c r="Q94" s="126"/>
      <c r="R94" s="123"/>
      <c r="S94" s="126"/>
      <c r="T94" s="126"/>
      <c r="U94" s="126"/>
      <c r="V94" s="126"/>
      <c r="W94" s="123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  <c r="AP94" s="126"/>
      <c r="AQ94" s="126"/>
      <c r="AR94" s="126"/>
      <c r="AS94" s="126"/>
      <c r="AT94" s="126"/>
      <c r="AU94" s="126"/>
      <c r="AV94" s="126"/>
      <c r="AW94" s="126"/>
      <c r="AX94" s="126"/>
      <c r="AY94" s="126"/>
      <c r="AZ94" s="126"/>
      <c r="BA94" s="126"/>
      <c r="BB94" s="126"/>
      <c r="BC94" s="126"/>
      <c r="BD94" s="126"/>
      <c r="BE94" s="126"/>
      <c r="BF94" s="126"/>
      <c r="BG94" s="126"/>
      <c r="BH94" s="126"/>
      <c r="BI94" s="126"/>
      <c r="BJ94" s="126"/>
      <c r="BK94" s="126"/>
      <c r="BL94" s="126"/>
      <c r="BM94" s="123"/>
      <c r="BN94" s="126"/>
      <c r="BO94" s="126"/>
      <c r="BP94" s="126"/>
      <c r="BQ94" s="126"/>
      <c r="BR94" s="126"/>
      <c r="BS94" s="126"/>
      <c r="BT94" s="126"/>
      <c r="BU94" s="126"/>
      <c r="BV94" s="126"/>
      <c r="BW94" s="126"/>
      <c r="BX94" s="126"/>
      <c r="BY94" s="126"/>
      <c r="BZ94" s="126"/>
      <c r="CA94" s="126"/>
      <c r="CB94" s="126"/>
      <c r="CC94" s="126"/>
      <c r="CD94" s="126"/>
      <c r="CE94" s="126"/>
      <c r="CF94" s="126"/>
      <c r="CG94" s="126"/>
      <c r="CH94" s="126"/>
      <c r="CI94" s="126"/>
      <c r="CJ94" s="126"/>
      <c r="CK94" s="126"/>
      <c r="CL94" s="126"/>
      <c r="CM94" s="126"/>
      <c r="CN94" s="126"/>
      <c r="CO94" s="126"/>
      <c r="CP94" s="126"/>
      <c r="CQ94" s="126"/>
      <c r="CR94" s="126"/>
      <c r="CS94" s="126"/>
      <c r="CT94" s="126"/>
      <c r="CU94" s="126"/>
      <c r="CV94" s="126"/>
      <c r="CW94" s="126"/>
      <c r="CX94" s="126"/>
      <c r="CY94" s="126"/>
      <c r="CZ94" s="126"/>
      <c r="DA94" s="126"/>
      <c r="DB94" s="126"/>
      <c r="DC94" s="126"/>
      <c r="DD94" s="126"/>
      <c r="DE94" s="126"/>
      <c r="DF94" s="126"/>
      <c r="DG94" s="126"/>
      <c r="DH94" s="126"/>
      <c r="DI94" s="126"/>
      <c r="DJ94" s="126"/>
      <c r="DK94" s="126"/>
      <c r="DL94" s="126"/>
      <c r="DM94" s="126"/>
      <c r="DN94" s="126"/>
      <c r="DO94" s="126"/>
      <c r="DP94" s="126"/>
      <c r="DQ94" s="126"/>
      <c r="DR94" s="126"/>
      <c r="DS94" s="210"/>
      <c r="DT94" s="126"/>
      <c r="DU94" s="126"/>
      <c r="DV94" s="126"/>
      <c r="DW94" s="126"/>
      <c r="DX94" s="126"/>
      <c r="DY94" s="126"/>
      <c r="DZ94" s="126"/>
      <c r="EA94" s="126"/>
      <c r="EB94" s="126"/>
      <c r="EC94" s="126"/>
      <c r="ED94" s="126"/>
      <c r="EE94" s="126"/>
      <c r="EF94" s="126"/>
      <c r="EG94" s="126"/>
      <c r="EH94" s="126"/>
      <c r="EI94" s="126"/>
      <c r="EJ94" s="126"/>
      <c r="EK94" s="126"/>
      <c r="EL94" s="126"/>
      <c r="EM94" s="126"/>
      <c r="EN94" s="126"/>
      <c r="EO94" s="126"/>
      <c r="EP94" s="126"/>
      <c r="EQ94" s="126"/>
      <c r="ER94" s="126"/>
      <c r="ES94" s="126"/>
      <c r="ET94" s="126"/>
      <c r="EU94" s="126"/>
      <c r="EV94" s="126"/>
      <c r="EW94" s="126"/>
      <c r="EX94" s="126"/>
      <c r="EY94" s="126"/>
      <c r="EZ94" s="126"/>
      <c r="FA94" s="126"/>
      <c r="FB94" s="126"/>
      <c r="FC94" s="126"/>
      <c r="FD94" s="126"/>
      <c r="FE94" s="126"/>
      <c r="FF94" s="126"/>
      <c r="FG94" s="126"/>
      <c r="FH94" s="126"/>
      <c r="FI94" s="126"/>
      <c r="FJ94" s="126"/>
      <c r="FK94" s="126"/>
      <c r="FL94" s="126"/>
      <c r="FM94" s="126"/>
      <c r="FN94" s="126"/>
      <c r="FO94" s="126"/>
      <c r="FP94" s="126"/>
      <c r="FQ94" s="126"/>
      <c r="FR94" s="126"/>
      <c r="FS94" s="126"/>
      <c r="FT94" s="126"/>
      <c r="FU94" s="126"/>
      <c r="FV94" s="126"/>
      <c r="FW94" s="126"/>
      <c r="FX94" s="126"/>
      <c r="FY94" s="126"/>
      <c r="FZ94" s="126"/>
      <c r="GA94" s="123"/>
      <c r="GB94" s="126"/>
      <c r="GC94" s="126"/>
      <c r="GD94" s="126"/>
      <c r="GV94" s="123"/>
      <c r="GW94" s="123"/>
      <c r="GX94" s="123"/>
      <c r="GY94" s="123"/>
      <c r="GZ94" s="123"/>
      <c r="HA94" s="123"/>
      <c r="HB94" s="123"/>
      <c r="HC94" s="123"/>
      <c r="HD94" s="123"/>
      <c r="HE94" s="123"/>
      <c r="HF94" s="123"/>
    </row>
    <row r="95" s="126" customFormat="1" spans="1:219">
      <c r="B95" s="123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3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  <c r="AP95" s="126"/>
      <c r="AQ95" s="126"/>
      <c r="AR95" s="126"/>
      <c r="AS95" s="126"/>
      <c r="AT95" s="126"/>
      <c r="AU95" s="126"/>
      <c r="AV95" s="126"/>
      <c r="AW95" s="126"/>
      <c r="AX95" s="126"/>
      <c r="AY95" s="126"/>
      <c r="AZ95" s="126"/>
      <c r="BA95" s="126"/>
      <c r="BB95" s="126"/>
      <c r="BC95" s="126"/>
      <c r="BD95" s="126"/>
      <c r="BE95" s="126"/>
      <c r="BF95" s="126"/>
      <c r="BG95" s="126"/>
      <c r="BH95" s="126"/>
      <c r="BI95" s="126"/>
      <c r="BJ95" s="126"/>
      <c r="BK95" s="126"/>
      <c r="BL95" s="126"/>
      <c r="BM95" s="126"/>
      <c r="BN95" s="126"/>
      <c r="BO95" s="126"/>
      <c r="BP95" s="126"/>
      <c r="BQ95" s="126"/>
      <c r="BR95" s="126"/>
      <c r="BS95" s="126"/>
      <c r="BT95" s="126"/>
      <c r="BU95" s="126"/>
      <c r="BV95" s="126"/>
      <c r="BW95" s="126"/>
      <c r="BX95" s="126"/>
      <c r="BY95" s="126"/>
      <c r="BZ95" s="126"/>
      <c r="CA95" s="126"/>
      <c r="CB95" s="126"/>
      <c r="CC95" s="126"/>
      <c r="CD95" s="126"/>
      <c r="CE95" s="126"/>
      <c r="CF95" s="126"/>
      <c r="CG95" s="126"/>
      <c r="CH95" s="126"/>
      <c r="CI95" s="126"/>
      <c r="CJ95" s="126"/>
      <c r="CK95" s="126"/>
      <c r="CL95" s="126"/>
      <c r="CM95" s="126"/>
      <c r="CN95" s="126"/>
      <c r="CO95" s="126"/>
      <c r="CP95" s="126"/>
      <c r="CQ95" s="126"/>
      <c r="CR95" s="126"/>
      <c r="CS95" s="126"/>
      <c r="CT95" s="126"/>
      <c r="CU95" s="126"/>
      <c r="CV95" s="126"/>
      <c r="CW95" s="126"/>
      <c r="CX95" s="126"/>
      <c r="CY95" s="126"/>
      <c r="CZ95" s="126"/>
      <c r="DA95" s="126"/>
      <c r="DB95" s="126"/>
      <c r="DC95" s="126"/>
      <c r="DD95" s="126"/>
      <c r="DE95" s="126"/>
      <c r="DF95" s="126"/>
      <c r="DG95" s="126"/>
      <c r="DH95" s="126"/>
      <c r="DI95" s="126"/>
      <c r="DJ95" s="126"/>
      <c r="DK95" s="126"/>
      <c r="DL95" s="126"/>
      <c r="DM95" s="126"/>
      <c r="DN95" s="126"/>
      <c r="DO95" s="126"/>
      <c r="DP95" s="126"/>
      <c r="DQ95" s="126"/>
      <c r="DR95" s="126"/>
      <c r="DS95" s="210"/>
      <c r="DT95" s="126"/>
      <c r="DU95" s="126"/>
      <c r="DV95" s="126"/>
      <c r="DW95" s="126"/>
      <c r="DX95" s="126"/>
      <c r="DY95" s="126"/>
      <c r="DZ95" s="126"/>
      <c r="EA95" s="126"/>
      <c r="EB95" s="126"/>
      <c r="EC95" s="126"/>
      <c r="ED95" s="126"/>
      <c r="EE95" s="126"/>
      <c r="EF95" s="126"/>
      <c r="EG95" s="126"/>
      <c r="EH95" s="126"/>
      <c r="EI95" s="126"/>
      <c r="EJ95" s="126"/>
      <c r="EK95" s="126"/>
      <c r="EL95" s="126"/>
      <c r="EM95" s="126"/>
      <c r="EN95" s="126"/>
      <c r="EO95" s="126"/>
      <c r="EP95" s="126"/>
      <c r="EQ95" s="126"/>
      <c r="ER95" s="126"/>
      <c r="ES95" s="126"/>
      <c r="ET95" s="126"/>
      <c r="EU95" s="126"/>
      <c r="EV95" s="126"/>
      <c r="EW95" s="126"/>
      <c r="EX95" s="126"/>
      <c r="EY95" s="126"/>
      <c r="EZ95" s="126"/>
      <c r="FA95" s="126"/>
      <c r="FB95" s="126"/>
      <c r="FC95" s="126"/>
      <c r="FD95" s="126"/>
      <c r="FE95" s="126"/>
      <c r="FF95" s="126"/>
      <c r="FG95" s="126"/>
      <c r="FH95" s="126"/>
      <c r="FI95" s="126"/>
      <c r="FJ95" s="126"/>
      <c r="FK95" s="126"/>
      <c r="FL95" s="126"/>
      <c r="FM95" s="126"/>
      <c r="FN95" s="126"/>
      <c r="FO95" s="126"/>
      <c r="FP95" s="126"/>
      <c r="FQ95" s="126"/>
      <c r="FR95" s="126"/>
      <c r="FS95" s="126"/>
      <c r="FT95" s="126"/>
      <c r="FU95" s="126"/>
      <c r="FV95" s="126"/>
      <c r="FW95" s="126"/>
      <c r="FX95" s="126"/>
      <c r="FY95" s="126"/>
      <c r="FZ95" s="126"/>
      <c r="GA95" s="123"/>
      <c r="GB95" s="126"/>
      <c r="GC95" s="126"/>
      <c r="GD95" s="126"/>
      <c r="GV95" s="123"/>
    </row>
    <row r="96" s="126" customFormat="1" spans="1:219">
      <c r="B96" s="123"/>
      <c r="C96" s="126"/>
      <c r="D96" s="126"/>
      <c r="E96" s="126"/>
      <c r="F96" s="126"/>
      <c r="G96" s="126"/>
      <c r="H96" s="126"/>
      <c r="I96" s="126"/>
      <c r="J96" s="126"/>
      <c r="K96" s="126"/>
      <c r="L96" s="123"/>
      <c r="M96" s="126"/>
      <c r="N96" s="126"/>
      <c r="O96" s="126"/>
      <c r="P96" s="126"/>
      <c r="Q96" s="126"/>
      <c r="R96" s="123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26"/>
      <c r="AQ96" s="126"/>
      <c r="AR96" s="126"/>
      <c r="AS96" s="126"/>
      <c r="AT96" s="126"/>
      <c r="AU96" s="126"/>
      <c r="AV96" s="126"/>
      <c r="AW96" s="126"/>
      <c r="AX96" s="126"/>
      <c r="AY96" s="126"/>
      <c r="AZ96" s="126"/>
      <c r="BA96" s="126"/>
      <c r="BB96" s="126"/>
      <c r="BC96" s="126"/>
      <c r="BD96" s="126"/>
      <c r="BE96" s="126"/>
      <c r="BF96" s="126"/>
      <c r="BG96" s="126"/>
      <c r="BH96" s="126"/>
      <c r="BI96" s="126"/>
      <c r="BJ96" s="126"/>
      <c r="BK96" s="126"/>
      <c r="BL96" s="126"/>
      <c r="BM96" s="123"/>
      <c r="BN96" s="126"/>
      <c r="BO96" s="126"/>
      <c r="BP96" s="126"/>
      <c r="BQ96" s="126"/>
      <c r="BR96" s="126"/>
      <c r="BS96" s="126"/>
      <c r="BT96" s="126"/>
      <c r="BU96" s="126"/>
      <c r="BV96" s="126"/>
      <c r="BW96" s="126"/>
      <c r="BX96" s="126"/>
      <c r="BY96" s="126"/>
      <c r="BZ96" s="126"/>
      <c r="CA96" s="126"/>
      <c r="CB96" s="126"/>
      <c r="CC96" s="126"/>
      <c r="CD96" s="126"/>
      <c r="CE96" s="126"/>
      <c r="CF96" s="126"/>
      <c r="CG96" s="126"/>
      <c r="CH96" s="126"/>
      <c r="CI96" s="126"/>
      <c r="CJ96" s="126"/>
      <c r="CK96" s="126"/>
      <c r="CL96" s="126"/>
      <c r="CM96" s="126"/>
      <c r="CN96" s="126"/>
      <c r="CO96" s="126"/>
      <c r="CP96" s="126"/>
      <c r="CQ96" s="126"/>
      <c r="CR96" s="126"/>
      <c r="CS96" s="126"/>
      <c r="CT96" s="126"/>
      <c r="CU96" s="126"/>
      <c r="CV96" s="126"/>
      <c r="CW96" s="126"/>
      <c r="CX96" s="126"/>
      <c r="CY96" s="126"/>
      <c r="CZ96" s="126"/>
      <c r="DA96" s="126"/>
      <c r="DB96" s="126"/>
      <c r="DC96" s="126"/>
      <c r="DD96" s="126"/>
      <c r="DE96" s="126"/>
      <c r="DF96" s="126"/>
      <c r="DG96" s="126"/>
      <c r="DH96" s="126"/>
      <c r="DI96" s="126"/>
      <c r="DJ96" s="126"/>
      <c r="DK96" s="126"/>
      <c r="DL96" s="126"/>
      <c r="DM96" s="126"/>
      <c r="DN96" s="126"/>
      <c r="DO96" s="126"/>
      <c r="DP96" s="126"/>
      <c r="DQ96" s="126"/>
      <c r="DR96" s="126"/>
      <c r="DS96" s="210"/>
      <c r="DT96" s="126"/>
      <c r="DU96" s="126"/>
      <c r="DV96" s="126"/>
      <c r="DW96" s="126"/>
      <c r="DX96" s="126"/>
      <c r="DY96" s="126"/>
      <c r="DZ96" s="126"/>
      <c r="EA96" s="126"/>
      <c r="EB96" s="126"/>
      <c r="EC96" s="126"/>
      <c r="ED96" s="126"/>
      <c r="EE96" s="126"/>
      <c r="EF96" s="126"/>
      <c r="EG96" s="126"/>
      <c r="EH96" s="126"/>
      <c r="EI96" s="126"/>
      <c r="EJ96" s="126"/>
      <c r="EK96" s="126"/>
      <c r="EL96" s="126"/>
      <c r="EM96" s="126"/>
      <c r="EN96" s="126"/>
      <c r="EO96" s="126"/>
      <c r="EP96" s="126"/>
      <c r="EQ96" s="126"/>
      <c r="ER96" s="126"/>
      <c r="ES96" s="126"/>
      <c r="ET96" s="126"/>
      <c r="EU96" s="126"/>
      <c r="EV96" s="126"/>
      <c r="EW96" s="126"/>
      <c r="EX96" s="126"/>
      <c r="EY96" s="126"/>
      <c r="EZ96" s="126"/>
      <c r="FA96" s="126"/>
      <c r="FB96" s="126"/>
      <c r="FC96" s="126"/>
      <c r="FD96" s="126"/>
      <c r="FE96" s="126"/>
      <c r="FF96" s="126"/>
      <c r="FG96" s="126"/>
      <c r="FH96" s="126"/>
      <c r="FI96" s="126"/>
      <c r="FJ96" s="126"/>
      <c r="FK96" s="126"/>
      <c r="FL96" s="126"/>
      <c r="FM96" s="126"/>
      <c r="FN96" s="126"/>
      <c r="FO96" s="126"/>
      <c r="FP96" s="126"/>
      <c r="FQ96" s="126"/>
      <c r="FR96" s="126"/>
      <c r="FS96" s="126"/>
      <c r="FT96" s="126"/>
      <c r="FU96" s="126"/>
      <c r="FV96" s="126"/>
      <c r="FW96" s="126"/>
      <c r="FX96" s="126"/>
      <c r="FY96" s="126"/>
      <c r="FZ96" s="126"/>
      <c r="GA96" s="123"/>
      <c r="GB96" s="126"/>
      <c r="GC96" s="126"/>
      <c r="GD96" s="126"/>
      <c r="GQ96" s="123"/>
      <c r="GV96" s="123"/>
      <c r="GW96" s="123"/>
      <c r="GX96" s="123"/>
      <c r="GY96" s="123"/>
      <c r="GZ96" s="123"/>
      <c r="HA96" s="123"/>
    </row>
    <row r="97" s="126" customFormat="1" spans="1:219">
      <c r="B97" s="123"/>
      <c r="C97" s="126"/>
      <c r="D97" s="126"/>
      <c r="E97" s="126"/>
      <c r="F97" s="126"/>
      <c r="G97" s="126"/>
      <c r="H97" s="126"/>
      <c r="I97" s="126"/>
      <c r="J97" s="126"/>
      <c r="K97" s="126"/>
      <c r="L97" s="123"/>
      <c r="M97" s="126"/>
      <c r="N97" s="126"/>
      <c r="O97" s="126"/>
      <c r="P97" s="126"/>
      <c r="Q97" s="126"/>
      <c r="R97" s="123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26"/>
      <c r="AV97" s="126"/>
      <c r="AW97" s="126"/>
      <c r="AX97" s="126"/>
      <c r="AY97" s="126"/>
      <c r="AZ97" s="126"/>
      <c r="BA97" s="126"/>
      <c r="BB97" s="126"/>
      <c r="BC97" s="126"/>
      <c r="BD97" s="126"/>
      <c r="BE97" s="126"/>
      <c r="BF97" s="126"/>
      <c r="BG97" s="126"/>
      <c r="BH97" s="126"/>
      <c r="BI97" s="126"/>
      <c r="BJ97" s="126"/>
      <c r="BK97" s="126"/>
      <c r="BL97" s="126"/>
      <c r="BM97" s="123"/>
      <c r="BN97" s="126"/>
      <c r="BO97" s="126"/>
      <c r="BP97" s="126"/>
      <c r="BQ97" s="126"/>
      <c r="BR97" s="126"/>
      <c r="BS97" s="126"/>
      <c r="BT97" s="126"/>
      <c r="BU97" s="126"/>
      <c r="BV97" s="126"/>
      <c r="BW97" s="126"/>
      <c r="BX97" s="126"/>
      <c r="BY97" s="126"/>
      <c r="BZ97" s="126"/>
      <c r="CA97" s="126"/>
      <c r="CB97" s="126"/>
      <c r="CC97" s="126"/>
      <c r="CD97" s="126"/>
      <c r="CE97" s="126"/>
      <c r="CF97" s="126"/>
      <c r="CG97" s="126"/>
      <c r="CH97" s="126"/>
      <c r="CI97" s="126"/>
      <c r="CJ97" s="126"/>
      <c r="CK97" s="126"/>
      <c r="CL97" s="126"/>
      <c r="CM97" s="126"/>
      <c r="CN97" s="126"/>
      <c r="CO97" s="126"/>
      <c r="CP97" s="126"/>
      <c r="CQ97" s="126"/>
      <c r="CR97" s="126"/>
      <c r="CS97" s="126"/>
      <c r="CT97" s="126"/>
      <c r="CU97" s="126"/>
      <c r="CV97" s="126"/>
      <c r="CW97" s="126"/>
      <c r="CX97" s="126"/>
      <c r="CY97" s="126"/>
      <c r="CZ97" s="126"/>
      <c r="DA97" s="126"/>
      <c r="DB97" s="126"/>
      <c r="DC97" s="126"/>
      <c r="DD97" s="126"/>
      <c r="DE97" s="126"/>
      <c r="DF97" s="126"/>
      <c r="DG97" s="126"/>
      <c r="DH97" s="126"/>
      <c r="DI97" s="126"/>
      <c r="DJ97" s="126"/>
      <c r="DK97" s="126"/>
      <c r="DL97" s="126"/>
      <c r="DM97" s="126"/>
      <c r="DN97" s="126"/>
      <c r="DO97" s="126"/>
      <c r="DP97" s="126"/>
      <c r="DQ97" s="126"/>
      <c r="DR97" s="126"/>
      <c r="DS97" s="210"/>
      <c r="DT97" s="126"/>
      <c r="DU97" s="126"/>
      <c r="DV97" s="126"/>
      <c r="DW97" s="126"/>
      <c r="DX97" s="126"/>
      <c r="DY97" s="126"/>
      <c r="DZ97" s="126"/>
      <c r="EA97" s="126"/>
      <c r="EB97" s="126"/>
      <c r="EC97" s="126"/>
      <c r="ED97" s="126"/>
      <c r="EE97" s="126"/>
      <c r="EF97" s="126"/>
      <c r="EG97" s="126"/>
      <c r="EH97" s="126"/>
      <c r="EI97" s="126"/>
      <c r="EJ97" s="126"/>
      <c r="EK97" s="126"/>
      <c r="EL97" s="126"/>
      <c r="EM97" s="126"/>
      <c r="EN97" s="126"/>
      <c r="EO97" s="126"/>
      <c r="EP97" s="126"/>
      <c r="EQ97" s="126"/>
      <c r="ER97" s="126"/>
      <c r="ES97" s="126"/>
      <c r="ET97" s="126"/>
      <c r="EU97" s="126"/>
      <c r="EV97" s="126"/>
      <c r="EW97" s="126"/>
      <c r="EX97" s="126"/>
      <c r="EY97" s="126"/>
      <c r="EZ97" s="126"/>
      <c r="FA97" s="126"/>
      <c r="FB97" s="126"/>
      <c r="FC97" s="126"/>
      <c r="FD97" s="126"/>
      <c r="FE97" s="126"/>
      <c r="FF97" s="126"/>
      <c r="FG97" s="126"/>
      <c r="FH97" s="126"/>
      <c r="FI97" s="126"/>
      <c r="FJ97" s="126"/>
      <c r="FK97" s="126"/>
      <c r="FL97" s="126"/>
      <c r="FM97" s="126"/>
      <c r="FN97" s="126"/>
      <c r="FO97" s="126"/>
      <c r="FP97" s="126"/>
      <c r="FQ97" s="126"/>
      <c r="FR97" s="126"/>
      <c r="FS97" s="126"/>
      <c r="FT97" s="126"/>
      <c r="FU97" s="126"/>
      <c r="FV97" s="126"/>
      <c r="FW97" s="126"/>
      <c r="FX97" s="126"/>
      <c r="FY97" s="126"/>
      <c r="FZ97" s="126"/>
      <c r="GA97" s="123"/>
      <c r="GB97" s="126"/>
      <c r="GC97" s="126"/>
      <c r="GD97" s="126"/>
      <c r="GV97" s="123"/>
      <c r="GW97" s="123"/>
      <c r="GX97" s="123"/>
      <c r="GY97" s="123"/>
      <c r="GZ97" s="123"/>
      <c r="HA97" s="123"/>
      <c r="HK97" s="123"/>
    </row>
    <row r="98" s="126" customFormat="1" spans="1:219">
      <c r="B98" s="123"/>
      <c r="C98" s="126"/>
      <c r="D98" s="126"/>
      <c r="E98" s="126"/>
      <c r="F98" s="126"/>
      <c r="G98" s="126"/>
      <c r="H98" s="126"/>
      <c r="I98" s="126"/>
      <c r="J98" s="126"/>
      <c r="K98" s="126"/>
      <c r="L98" s="123"/>
      <c r="M98" s="126"/>
      <c r="N98" s="126"/>
      <c r="O98" s="126"/>
      <c r="P98" s="126"/>
      <c r="Q98" s="126"/>
      <c r="R98" s="123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6"/>
      <c r="BJ98" s="126"/>
      <c r="BK98" s="126"/>
      <c r="BL98" s="126"/>
      <c r="BM98" s="126"/>
      <c r="BN98" s="126"/>
      <c r="BO98" s="126"/>
      <c r="BP98" s="126"/>
      <c r="BQ98" s="126"/>
      <c r="BR98" s="126"/>
      <c r="BS98" s="126"/>
      <c r="BT98" s="126"/>
      <c r="BU98" s="126"/>
      <c r="BV98" s="126"/>
      <c r="BW98" s="126"/>
      <c r="BX98" s="126"/>
      <c r="BY98" s="126"/>
      <c r="BZ98" s="126"/>
      <c r="CA98" s="126"/>
      <c r="CB98" s="126"/>
      <c r="CC98" s="126"/>
      <c r="CD98" s="126"/>
      <c r="CE98" s="126"/>
      <c r="CF98" s="126"/>
      <c r="CG98" s="126"/>
      <c r="CH98" s="126"/>
      <c r="CI98" s="126"/>
      <c r="CJ98" s="126"/>
      <c r="CK98" s="126"/>
      <c r="CL98" s="126"/>
      <c r="CM98" s="126"/>
      <c r="CN98" s="126"/>
      <c r="CO98" s="126"/>
      <c r="CP98" s="126"/>
      <c r="CQ98" s="126"/>
      <c r="CR98" s="126"/>
      <c r="CS98" s="126"/>
      <c r="CT98" s="126"/>
      <c r="CU98" s="126"/>
      <c r="CV98" s="126"/>
      <c r="CW98" s="126"/>
      <c r="CX98" s="126"/>
      <c r="CY98" s="126"/>
      <c r="CZ98" s="126"/>
      <c r="DA98" s="126"/>
      <c r="DB98" s="126"/>
      <c r="DC98" s="126"/>
      <c r="DD98" s="126"/>
      <c r="DE98" s="126"/>
      <c r="DF98" s="126"/>
      <c r="DG98" s="126"/>
      <c r="DH98" s="126"/>
      <c r="DI98" s="126"/>
      <c r="DJ98" s="126"/>
      <c r="DK98" s="126"/>
      <c r="DL98" s="126"/>
      <c r="DM98" s="126"/>
      <c r="DN98" s="126"/>
      <c r="DO98" s="126"/>
      <c r="DP98" s="126"/>
      <c r="DQ98" s="126"/>
      <c r="DR98" s="126"/>
      <c r="DS98" s="210"/>
      <c r="DT98" s="126"/>
      <c r="DU98" s="126"/>
      <c r="DV98" s="126"/>
      <c r="DW98" s="126"/>
      <c r="DX98" s="126"/>
      <c r="DY98" s="126"/>
      <c r="DZ98" s="126"/>
      <c r="EA98" s="126"/>
      <c r="EB98" s="126"/>
      <c r="EC98" s="126"/>
      <c r="ED98" s="126"/>
      <c r="EE98" s="126"/>
      <c r="EF98" s="126"/>
      <c r="EG98" s="126"/>
      <c r="EH98" s="126"/>
      <c r="EI98" s="126"/>
      <c r="EJ98" s="126"/>
      <c r="EK98" s="126"/>
      <c r="EL98" s="126"/>
      <c r="EM98" s="126"/>
      <c r="EN98" s="126"/>
      <c r="EO98" s="126"/>
      <c r="EP98" s="126"/>
      <c r="EQ98" s="126"/>
      <c r="ER98" s="126"/>
      <c r="ES98" s="126"/>
      <c r="ET98" s="126"/>
      <c r="EU98" s="126"/>
      <c r="EV98" s="126"/>
      <c r="EW98" s="126"/>
      <c r="EX98" s="126"/>
      <c r="EY98" s="126"/>
      <c r="EZ98" s="126"/>
      <c r="FA98" s="126"/>
      <c r="FB98" s="126"/>
      <c r="FC98" s="126"/>
      <c r="FD98" s="126"/>
      <c r="FE98" s="126"/>
      <c r="FF98" s="126"/>
      <c r="FG98" s="126"/>
      <c r="FH98" s="126"/>
      <c r="FI98" s="126"/>
      <c r="FJ98" s="126"/>
      <c r="FK98" s="126"/>
      <c r="FL98" s="126"/>
      <c r="FM98" s="126"/>
      <c r="FN98" s="126"/>
      <c r="FO98" s="126"/>
      <c r="FP98" s="126"/>
      <c r="FQ98" s="126"/>
      <c r="FR98" s="126"/>
      <c r="FS98" s="126"/>
      <c r="FT98" s="126"/>
      <c r="FU98" s="126"/>
      <c r="FV98" s="126"/>
      <c r="FW98" s="126"/>
      <c r="FX98" s="126"/>
      <c r="FY98" s="126"/>
      <c r="FZ98" s="126"/>
      <c r="GA98" s="123"/>
      <c r="GB98" s="126"/>
      <c r="GC98" s="126"/>
      <c r="GD98" s="126"/>
      <c r="GV98" s="123"/>
      <c r="HK98" s="123"/>
    </row>
    <row r="99" s="126" customFormat="1" spans="1:219">
      <c r="B99" s="123"/>
      <c r="C99" s="126"/>
      <c r="D99" s="126"/>
      <c r="E99" s="126"/>
      <c r="F99" s="126"/>
      <c r="G99" s="126"/>
      <c r="H99" s="126"/>
      <c r="I99" s="126"/>
      <c r="J99" s="126"/>
      <c r="K99" s="126"/>
      <c r="L99" s="123"/>
      <c r="M99" s="126"/>
      <c r="N99" s="126"/>
      <c r="O99" s="126"/>
      <c r="P99" s="126"/>
      <c r="Q99" s="126"/>
      <c r="R99" s="123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  <c r="BC99" s="126"/>
      <c r="BD99" s="126"/>
      <c r="BE99" s="126"/>
      <c r="BF99" s="126"/>
      <c r="BG99" s="126"/>
      <c r="BH99" s="126"/>
      <c r="BI99" s="126"/>
      <c r="BJ99" s="126"/>
      <c r="BK99" s="126"/>
      <c r="BL99" s="126"/>
      <c r="BM99" s="123"/>
      <c r="BN99" s="126"/>
      <c r="BO99" s="126"/>
      <c r="BP99" s="126"/>
      <c r="BQ99" s="126"/>
      <c r="BR99" s="126"/>
      <c r="BS99" s="126"/>
      <c r="BT99" s="126"/>
      <c r="BU99" s="126"/>
      <c r="BV99" s="126"/>
      <c r="BW99" s="126"/>
      <c r="BX99" s="126"/>
      <c r="BY99" s="126"/>
      <c r="BZ99" s="126"/>
      <c r="CA99" s="126"/>
      <c r="CB99" s="126"/>
      <c r="CC99" s="126"/>
      <c r="CD99" s="126"/>
      <c r="CE99" s="126"/>
      <c r="CF99" s="126"/>
      <c r="CG99" s="126"/>
      <c r="CH99" s="126"/>
      <c r="CI99" s="126"/>
      <c r="CJ99" s="126"/>
      <c r="CK99" s="126"/>
      <c r="CL99" s="126"/>
      <c r="CM99" s="126"/>
      <c r="CN99" s="126"/>
      <c r="CO99" s="126"/>
      <c r="CP99" s="126"/>
      <c r="CQ99" s="126"/>
      <c r="CR99" s="126"/>
      <c r="CS99" s="126"/>
      <c r="CT99" s="126"/>
      <c r="CU99" s="126"/>
      <c r="CV99" s="126"/>
      <c r="CW99" s="126"/>
      <c r="CX99" s="126"/>
      <c r="CY99" s="126"/>
      <c r="CZ99" s="126"/>
      <c r="DA99" s="126"/>
      <c r="DB99" s="126"/>
      <c r="DC99" s="126"/>
      <c r="DD99" s="126"/>
      <c r="DE99" s="126"/>
      <c r="DF99" s="126"/>
      <c r="DG99" s="126"/>
      <c r="DH99" s="126"/>
      <c r="DI99" s="126"/>
      <c r="DJ99" s="126"/>
      <c r="DK99" s="126"/>
      <c r="DL99" s="126"/>
      <c r="DM99" s="126"/>
      <c r="DN99" s="126"/>
      <c r="DO99" s="126"/>
      <c r="DP99" s="126"/>
      <c r="DQ99" s="126"/>
      <c r="DR99" s="126"/>
      <c r="DS99" s="210"/>
      <c r="DT99" s="126"/>
      <c r="DU99" s="126"/>
      <c r="DV99" s="126"/>
      <c r="DW99" s="126"/>
      <c r="DX99" s="126"/>
      <c r="DY99" s="126"/>
      <c r="DZ99" s="126"/>
      <c r="EA99" s="126"/>
      <c r="EB99" s="126"/>
      <c r="EC99" s="126"/>
      <c r="ED99" s="126"/>
      <c r="EE99" s="126"/>
      <c r="EF99" s="126"/>
      <c r="EG99" s="126"/>
      <c r="EH99" s="126"/>
      <c r="EI99" s="126"/>
      <c r="EJ99" s="126"/>
      <c r="EK99" s="126"/>
      <c r="EL99" s="126"/>
      <c r="EM99" s="126"/>
      <c r="EN99" s="126"/>
      <c r="EO99" s="126"/>
      <c r="EP99" s="126"/>
      <c r="EQ99" s="126"/>
      <c r="ER99" s="126"/>
      <c r="ES99" s="126"/>
      <c r="ET99" s="126"/>
      <c r="EU99" s="126"/>
      <c r="EV99" s="126"/>
      <c r="EW99" s="126"/>
      <c r="EX99" s="126"/>
      <c r="EY99" s="126"/>
      <c r="EZ99" s="126"/>
      <c r="FA99" s="126"/>
      <c r="FB99" s="126"/>
      <c r="FC99" s="126"/>
      <c r="FD99" s="126"/>
      <c r="FE99" s="126"/>
      <c r="FF99" s="126"/>
      <c r="FG99" s="126"/>
      <c r="FH99" s="126"/>
      <c r="FI99" s="126"/>
      <c r="FJ99" s="126"/>
      <c r="FK99" s="126"/>
      <c r="FL99" s="126"/>
      <c r="FM99" s="126"/>
      <c r="FN99" s="126"/>
      <c r="FO99" s="126"/>
      <c r="FP99" s="126"/>
      <c r="FQ99" s="126"/>
      <c r="FR99" s="126"/>
      <c r="FS99" s="126"/>
      <c r="FT99" s="126"/>
      <c r="FU99" s="126"/>
      <c r="FV99" s="126"/>
      <c r="FW99" s="126"/>
      <c r="FX99" s="126"/>
      <c r="FY99" s="126"/>
      <c r="FZ99" s="126"/>
      <c r="GA99" s="123"/>
      <c r="GB99" s="126"/>
      <c r="GC99" s="126"/>
      <c r="GD99" s="126"/>
      <c r="GV99" s="123"/>
      <c r="HF99" s="123"/>
      <c r="HG99" s="123"/>
      <c r="HH99" s="123"/>
      <c r="HI99" s="123"/>
      <c r="HJ99" s="123"/>
      <c r="HK99" s="123"/>
    </row>
    <row r="100" s="126" customFormat="1" spans="1:219">
      <c r="B100" s="123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3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  <c r="BC100" s="126"/>
      <c r="BD100" s="126"/>
      <c r="BE100" s="126"/>
      <c r="BF100" s="126"/>
      <c r="BG100" s="126"/>
      <c r="BH100" s="126"/>
      <c r="BI100" s="126"/>
      <c r="BJ100" s="126"/>
      <c r="BK100" s="126"/>
      <c r="BL100" s="126"/>
      <c r="BM100" s="126"/>
      <c r="BN100" s="126"/>
      <c r="BO100" s="126"/>
      <c r="BP100" s="126"/>
      <c r="BQ100" s="126"/>
      <c r="BR100" s="126"/>
      <c r="BS100" s="126"/>
      <c r="BT100" s="126"/>
      <c r="BU100" s="126"/>
      <c r="BV100" s="126"/>
      <c r="BW100" s="126"/>
      <c r="BX100" s="126"/>
      <c r="BY100" s="126"/>
      <c r="BZ100" s="126"/>
      <c r="CA100" s="126"/>
      <c r="CB100" s="126"/>
      <c r="CC100" s="126"/>
      <c r="CD100" s="126"/>
      <c r="CE100" s="126"/>
      <c r="CF100" s="126"/>
      <c r="CG100" s="126"/>
      <c r="CH100" s="126"/>
      <c r="CI100" s="126"/>
      <c r="CJ100" s="126"/>
      <c r="CK100" s="126"/>
      <c r="CL100" s="126"/>
      <c r="CM100" s="126"/>
      <c r="CN100" s="126"/>
      <c r="CO100" s="126"/>
      <c r="CP100" s="126"/>
      <c r="CQ100" s="126"/>
      <c r="CR100" s="126"/>
      <c r="CS100" s="126"/>
      <c r="CT100" s="126"/>
      <c r="CU100" s="126"/>
      <c r="CV100" s="126"/>
      <c r="CW100" s="126"/>
      <c r="CX100" s="126"/>
      <c r="CY100" s="126"/>
      <c r="CZ100" s="126"/>
      <c r="DA100" s="126"/>
      <c r="DB100" s="126"/>
      <c r="DC100" s="126"/>
      <c r="DD100" s="126"/>
      <c r="DE100" s="126"/>
      <c r="DF100" s="126"/>
      <c r="DG100" s="126"/>
      <c r="DH100" s="126"/>
      <c r="DI100" s="126"/>
      <c r="DJ100" s="126"/>
      <c r="DK100" s="126"/>
      <c r="DL100" s="126"/>
      <c r="DM100" s="126"/>
      <c r="DN100" s="126"/>
      <c r="DO100" s="126"/>
      <c r="DP100" s="126"/>
      <c r="DQ100" s="126"/>
      <c r="DR100" s="126"/>
      <c r="DS100" s="210"/>
      <c r="DT100" s="126"/>
      <c r="DU100" s="126"/>
      <c r="DV100" s="126"/>
      <c r="DW100" s="126"/>
      <c r="DX100" s="126"/>
      <c r="DY100" s="126"/>
      <c r="DZ100" s="126"/>
      <c r="EA100" s="126"/>
      <c r="EB100" s="126"/>
      <c r="EC100" s="126"/>
      <c r="ED100" s="126"/>
      <c r="EE100" s="126"/>
      <c r="EF100" s="126"/>
      <c r="EG100" s="126"/>
      <c r="EH100" s="126"/>
      <c r="EI100" s="126"/>
      <c r="EJ100" s="126"/>
      <c r="EK100" s="126"/>
      <c r="EL100" s="126"/>
      <c r="EM100" s="126"/>
      <c r="EN100" s="126"/>
      <c r="EO100" s="126"/>
      <c r="EP100" s="126"/>
      <c r="EQ100" s="126"/>
      <c r="ER100" s="126"/>
      <c r="ES100" s="126"/>
      <c r="ET100" s="126"/>
      <c r="EU100" s="126"/>
      <c r="EV100" s="126"/>
      <c r="EW100" s="126"/>
      <c r="EX100" s="126"/>
      <c r="EY100" s="126"/>
      <c r="EZ100" s="126"/>
      <c r="FA100" s="126"/>
      <c r="FB100" s="126"/>
      <c r="FC100" s="126"/>
      <c r="FD100" s="126"/>
      <c r="FE100" s="126"/>
      <c r="FF100" s="126"/>
      <c r="FG100" s="126"/>
      <c r="FH100" s="126"/>
      <c r="FI100" s="126"/>
      <c r="FJ100" s="126"/>
      <c r="FK100" s="126"/>
      <c r="FL100" s="126"/>
      <c r="FM100" s="126"/>
      <c r="FN100" s="126"/>
      <c r="FO100" s="126"/>
      <c r="FP100" s="126"/>
      <c r="FQ100" s="126"/>
      <c r="FR100" s="126"/>
      <c r="FS100" s="126"/>
      <c r="FT100" s="126"/>
      <c r="FU100" s="126"/>
      <c r="FV100" s="126"/>
      <c r="FW100" s="126"/>
      <c r="FX100" s="126"/>
      <c r="FY100" s="126"/>
      <c r="FZ100" s="126"/>
      <c r="GA100" s="123"/>
      <c r="GB100" s="126"/>
      <c r="GC100" s="126"/>
      <c r="GD100" s="126"/>
      <c r="GV100" s="123"/>
    </row>
    <row r="101" s="126" customFormat="1" spans="1:219">
      <c r="B101" s="123"/>
      <c r="C101" s="126"/>
      <c r="D101" s="126"/>
      <c r="E101" s="126"/>
      <c r="F101" s="126"/>
      <c r="G101" s="126"/>
      <c r="H101" s="126"/>
      <c r="I101" s="126"/>
      <c r="J101" s="126"/>
      <c r="K101" s="126"/>
      <c r="L101" s="123"/>
      <c r="M101" s="126"/>
      <c r="N101" s="126"/>
      <c r="O101" s="126"/>
      <c r="P101" s="126"/>
      <c r="Q101" s="126"/>
      <c r="R101" s="123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  <c r="AW101" s="126"/>
      <c r="AX101" s="126"/>
      <c r="AY101" s="126"/>
      <c r="AZ101" s="126"/>
      <c r="BA101" s="126"/>
      <c r="BB101" s="126"/>
      <c r="BC101" s="126"/>
      <c r="BD101" s="126"/>
      <c r="BE101" s="126"/>
      <c r="BF101" s="126"/>
      <c r="BG101" s="126"/>
      <c r="BH101" s="126"/>
      <c r="BI101" s="126"/>
      <c r="BJ101" s="126"/>
      <c r="BK101" s="126"/>
      <c r="BL101" s="126"/>
      <c r="BM101" s="126"/>
      <c r="BN101" s="126"/>
      <c r="BO101" s="126"/>
      <c r="BP101" s="126"/>
      <c r="BQ101" s="126"/>
      <c r="BR101" s="126"/>
      <c r="BS101" s="126"/>
      <c r="BT101" s="126"/>
      <c r="BU101" s="126"/>
      <c r="BV101" s="126"/>
      <c r="BW101" s="126"/>
      <c r="BX101" s="126"/>
      <c r="BY101" s="126"/>
      <c r="BZ101" s="126"/>
      <c r="CA101" s="126"/>
      <c r="CB101" s="126"/>
      <c r="CC101" s="126"/>
      <c r="CD101" s="126"/>
      <c r="CE101" s="126"/>
      <c r="CF101" s="126"/>
      <c r="CG101" s="126"/>
      <c r="CH101" s="126"/>
      <c r="CI101" s="126"/>
      <c r="CJ101" s="126"/>
      <c r="CK101" s="126"/>
      <c r="CL101" s="126"/>
      <c r="CM101" s="126"/>
      <c r="CN101" s="126"/>
      <c r="CO101" s="126"/>
      <c r="CP101" s="126"/>
      <c r="CQ101" s="126"/>
      <c r="CR101" s="126"/>
      <c r="CS101" s="126"/>
      <c r="CT101" s="126"/>
      <c r="CU101" s="126"/>
      <c r="CV101" s="126"/>
      <c r="CW101" s="126"/>
      <c r="CX101" s="126"/>
      <c r="CY101" s="126"/>
      <c r="CZ101" s="126"/>
      <c r="DA101" s="126"/>
      <c r="DB101" s="126"/>
      <c r="DC101" s="126"/>
      <c r="DD101" s="126"/>
      <c r="DE101" s="126"/>
      <c r="DF101" s="126"/>
      <c r="DG101" s="126"/>
      <c r="DH101" s="126"/>
      <c r="DI101" s="126"/>
      <c r="DJ101" s="126"/>
      <c r="DK101" s="126"/>
      <c r="DL101" s="126"/>
      <c r="DM101" s="126"/>
      <c r="DN101" s="126"/>
      <c r="DO101" s="126"/>
      <c r="DP101" s="126"/>
      <c r="DQ101" s="126"/>
      <c r="DR101" s="126"/>
      <c r="DS101" s="210"/>
      <c r="DT101" s="126"/>
      <c r="DU101" s="126"/>
      <c r="DV101" s="126"/>
      <c r="DW101" s="126"/>
      <c r="DX101" s="126"/>
      <c r="DY101" s="126"/>
      <c r="DZ101" s="126"/>
      <c r="EA101" s="126"/>
      <c r="EB101" s="126"/>
      <c r="EC101" s="126"/>
      <c r="ED101" s="126"/>
      <c r="EE101" s="126"/>
      <c r="EF101" s="126"/>
      <c r="EG101" s="126"/>
      <c r="EH101" s="126"/>
      <c r="EI101" s="126"/>
      <c r="EJ101" s="126"/>
      <c r="EK101" s="126"/>
      <c r="EL101" s="126"/>
      <c r="EM101" s="126"/>
      <c r="EN101" s="126"/>
      <c r="EO101" s="126"/>
      <c r="EP101" s="126"/>
      <c r="EQ101" s="126"/>
      <c r="ER101" s="126"/>
      <c r="ES101" s="126"/>
      <c r="ET101" s="126"/>
      <c r="EU101" s="126"/>
      <c r="EV101" s="126"/>
      <c r="EW101" s="126"/>
      <c r="EX101" s="126"/>
      <c r="EY101" s="126"/>
      <c r="EZ101" s="126"/>
      <c r="FA101" s="126"/>
      <c r="FB101" s="126"/>
      <c r="FC101" s="126"/>
      <c r="FD101" s="126"/>
      <c r="FE101" s="126"/>
      <c r="FF101" s="126"/>
      <c r="FG101" s="126"/>
      <c r="FH101" s="126"/>
      <c r="FI101" s="126"/>
      <c r="FJ101" s="126"/>
      <c r="FK101" s="126"/>
      <c r="FL101" s="126"/>
      <c r="FM101" s="126"/>
      <c r="FN101" s="126"/>
      <c r="FO101" s="126"/>
      <c r="FP101" s="126"/>
      <c r="FQ101" s="126"/>
      <c r="FR101" s="126"/>
      <c r="FS101" s="126"/>
      <c r="FT101" s="126"/>
      <c r="FU101" s="126"/>
      <c r="FV101" s="126"/>
      <c r="FW101" s="126"/>
      <c r="FX101" s="126"/>
      <c r="FY101" s="126"/>
      <c r="FZ101" s="126"/>
      <c r="GA101" s="123"/>
      <c r="GB101" s="126"/>
      <c r="GC101" s="126"/>
      <c r="GD101" s="126"/>
      <c r="GV101" s="123"/>
      <c r="GW101" s="123"/>
      <c r="GX101" s="123"/>
      <c r="GY101" s="123"/>
      <c r="GZ101" s="123"/>
      <c r="HA101" s="123"/>
    </row>
    <row r="102" s="126" customFormat="1" spans="1:219">
      <c r="B102" s="123"/>
      <c r="C102" s="126"/>
      <c r="D102" s="126"/>
      <c r="E102" s="126"/>
      <c r="F102" s="126"/>
      <c r="G102" s="126"/>
      <c r="H102" s="126"/>
      <c r="I102" s="126"/>
      <c r="J102" s="126"/>
      <c r="K102" s="126"/>
      <c r="L102" s="123"/>
      <c r="M102" s="126"/>
      <c r="N102" s="126"/>
      <c r="O102" s="126"/>
      <c r="P102" s="126"/>
      <c r="Q102" s="126"/>
      <c r="R102" s="123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  <c r="AW102" s="126"/>
      <c r="AX102" s="126"/>
      <c r="AY102" s="126"/>
      <c r="AZ102" s="126"/>
      <c r="BA102" s="126"/>
      <c r="BB102" s="126"/>
      <c r="BC102" s="126"/>
      <c r="BD102" s="126"/>
      <c r="BE102" s="126"/>
      <c r="BF102" s="126"/>
      <c r="BG102" s="126"/>
      <c r="BH102" s="126"/>
      <c r="BI102" s="126"/>
      <c r="BJ102" s="126"/>
      <c r="BK102" s="126"/>
      <c r="BL102" s="126"/>
      <c r="BM102" s="123"/>
      <c r="BN102" s="126"/>
      <c r="BO102" s="126"/>
      <c r="BP102" s="126"/>
      <c r="BQ102" s="126"/>
      <c r="BR102" s="126"/>
      <c r="BS102" s="126"/>
      <c r="BT102" s="126"/>
      <c r="BU102" s="126"/>
      <c r="BV102" s="126"/>
      <c r="BW102" s="126"/>
      <c r="BX102" s="126"/>
      <c r="BY102" s="126"/>
      <c r="BZ102" s="126"/>
      <c r="CA102" s="126"/>
      <c r="CB102" s="126"/>
      <c r="CC102" s="126"/>
      <c r="CD102" s="126"/>
      <c r="CE102" s="126"/>
      <c r="CF102" s="126"/>
      <c r="CG102" s="126"/>
      <c r="CH102" s="126"/>
      <c r="CI102" s="126"/>
      <c r="CJ102" s="126"/>
      <c r="CK102" s="126"/>
      <c r="CL102" s="126"/>
      <c r="CM102" s="126"/>
      <c r="CN102" s="126"/>
      <c r="CO102" s="126"/>
      <c r="CP102" s="126"/>
      <c r="CQ102" s="126"/>
      <c r="CR102" s="126"/>
      <c r="CS102" s="126"/>
      <c r="CT102" s="126"/>
      <c r="CU102" s="126"/>
      <c r="CV102" s="126"/>
      <c r="CW102" s="126"/>
      <c r="CX102" s="126"/>
      <c r="CY102" s="126"/>
      <c r="CZ102" s="126"/>
      <c r="DA102" s="126"/>
      <c r="DB102" s="126"/>
      <c r="DC102" s="126"/>
      <c r="DD102" s="126"/>
      <c r="DE102" s="126"/>
      <c r="DF102" s="126"/>
      <c r="DG102" s="126"/>
      <c r="DH102" s="126"/>
      <c r="DI102" s="126"/>
      <c r="DJ102" s="126"/>
      <c r="DK102" s="126"/>
      <c r="DL102" s="126"/>
      <c r="DM102" s="126"/>
      <c r="DN102" s="126"/>
      <c r="DO102" s="126"/>
      <c r="DP102" s="126"/>
      <c r="DQ102" s="126"/>
      <c r="DR102" s="126"/>
      <c r="DS102" s="210"/>
      <c r="DT102" s="126"/>
      <c r="DU102" s="126"/>
      <c r="DV102" s="126"/>
      <c r="DW102" s="126"/>
      <c r="DX102" s="126"/>
      <c r="DY102" s="126"/>
      <c r="DZ102" s="126"/>
      <c r="EA102" s="126"/>
      <c r="EB102" s="126"/>
      <c r="EC102" s="126"/>
      <c r="ED102" s="126"/>
      <c r="EE102" s="126"/>
      <c r="EF102" s="126"/>
      <c r="EG102" s="126"/>
      <c r="EH102" s="126"/>
      <c r="EI102" s="126"/>
      <c r="EJ102" s="126"/>
      <c r="EK102" s="126"/>
      <c r="EL102" s="126"/>
      <c r="EM102" s="126"/>
      <c r="EN102" s="126"/>
      <c r="EO102" s="126"/>
      <c r="EP102" s="126"/>
      <c r="EQ102" s="126"/>
      <c r="ER102" s="126"/>
      <c r="ES102" s="126"/>
      <c r="ET102" s="126"/>
      <c r="EU102" s="126"/>
      <c r="EV102" s="126"/>
      <c r="EW102" s="126"/>
      <c r="EX102" s="126"/>
      <c r="EY102" s="126"/>
      <c r="EZ102" s="126"/>
      <c r="FA102" s="126"/>
      <c r="FB102" s="126"/>
      <c r="FC102" s="126"/>
      <c r="FD102" s="126"/>
      <c r="FE102" s="126"/>
      <c r="FF102" s="126"/>
      <c r="FG102" s="126"/>
      <c r="FH102" s="126"/>
      <c r="FI102" s="126"/>
      <c r="FJ102" s="126"/>
      <c r="FK102" s="126"/>
      <c r="FL102" s="126"/>
      <c r="FM102" s="126"/>
      <c r="FN102" s="126"/>
      <c r="FO102" s="126"/>
      <c r="FP102" s="126"/>
      <c r="FQ102" s="126"/>
      <c r="FR102" s="126"/>
      <c r="FS102" s="126"/>
      <c r="FT102" s="126"/>
      <c r="FU102" s="126"/>
      <c r="FV102" s="126"/>
      <c r="FW102" s="126"/>
      <c r="FX102" s="126"/>
      <c r="FY102" s="126"/>
      <c r="FZ102" s="126"/>
      <c r="GA102" s="123"/>
      <c r="GB102" s="126"/>
      <c r="GC102" s="126"/>
      <c r="GD102" s="126"/>
      <c r="GQ102" s="123"/>
      <c r="GR102" s="123"/>
      <c r="GS102" s="123"/>
      <c r="GT102" s="123"/>
      <c r="GU102" s="123"/>
      <c r="GV102" s="123"/>
      <c r="GW102" s="123"/>
      <c r="GX102" s="123"/>
      <c r="GY102" s="123"/>
      <c r="GZ102" s="123"/>
      <c r="HA102" s="123"/>
      <c r="HB102" s="123"/>
      <c r="HC102" s="123"/>
      <c r="HD102" s="123"/>
      <c r="HE102" s="123"/>
      <c r="HF102" s="123"/>
      <c r="HG102" s="123"/>
      <c r="HH102" s="123"/>
      <c r="HI102" s="123"/>
      <c r="HJ102" s="123"/>
      <c r="HK102" s="123"/>
    </row>
    <row r="103" s="126" customFormat="1" spans="1:219">
      <c r="A103" s="142"/>
      <c r="B103" s="123"/>
      <c r="C103" s="126"/>
      <c r="D103" s="126"/>
      <c r="E103" s="126"/>
      <c r="F103" s="126"/>
      <c r="G103" s="126"/>
      <c r="H103" s="126"/>
      <c r="I103" s="126"/>
      <c r="J103" s="126"/>
      <c r="K103" s="126"/>
      <c r="L103" s="123"/>
      <c r="M103" s="126"/>
      <c r="N103" s="126"/>
      <c r="O103" s="126"/>
      <c r="P103" s="126"/>
      <c r="Q103" s="126"/>
      <c r="R103" s="123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  <c r="AW103" s="126"/>
      <c r="AX103" s="126"/>
      <c r="AY103" s="126"/>
      <c r="AZ103" s="126"/>
      <c r="BA103" s="126"/>
      <c r="BB103" s="126"/>
      <c r="BC103" s="126"/>
      <c r="BD103" s="126"/>
      <c r="BE103" s="126"/>
      <c r="BF103" s="126"/>
      <c r="BG103" s="126"/>
      <c r="BH103" s="126"/>
      <c r="BI103" s="126"/>
      <c r="BJ103" s="126"/>
      <c r="BK103" s="126"/>
      <c r="BL103" s="126"/>
      <c r="BM103" s="126"/>
      <c r="BN103" s="126"/>
      <c r="BO103" s="126"/>
      <c r="BP103" s="126"/>
      <c r="BQ103" s="126"/>
      <c r="BR103" s="126"/>
      <c r="BS103" s="126"/>
      <c r="BT103" s="126"/>
      <c r="BU103" s="126"/>
      <c r="BV103" s="126"/>
      <c r="BW103" s="126"/>
      <c r="BX103" s="126"/>
      <c r="BY103" s="126"/>
      <c r="BZ103" s="126"/>
      <c r="CA103" s="126"/>
      <c r="CB103" s="126"/>
      <c r="CC103" s="126"/>
      <c r="CD103" s="126"/>
      <c r="CE103" s="126"/>
      <c r="CF103" s="126"/>
      <c r="CG103" s="126"/>
      <c r="CH103" s="126"/>
      <c r="CI103" s="126"/>
      <c r="CJ103" s="126"/>
      <c r="CK103" s="126"/>
      <c r="CL103" s="126"/>
      <c r="CM103" s="126"/>
      <c r="CN103" s="126"/>
      <c r="CO103" s="126"/>
      <c r="CP103" s="126"/>
      <c r="CQ103" s="126"/>
      <c r="CR103" s="126"/>
      <c r="CS103" s="126"/>
      <c r="CT103" s="126"/>
      <c r="CU103" s="126"/>
      <c r="CV103" s="126"/>
      <c r="CW103" s="126"/>
      <c r="CX103" s="126"/>
      <c r="CY103" s="126"/>
      <c r="CZ103" s="126"/>
      <c r="DA103" s="126"/>
      <c r="DB103" s="126"/>
      <c r="DC103" s="126"/>
      <c r="DD103" s="126"/>
      <c r="DE103" s="126"/>
      <c r="DF103" s="126"/>
      <c r="DG103" s="126"/>
      <c r="DH103" s="126"/>
      <c r="DI103" s="126"/>
      <c r="DJ103" s="126"/>
      <c r="DK103" s="126"/>
      <c r="DL103" s="126"/>
      <c r="DM103" s="126"/>
      <c r="DN103" s="126"/>
      <c r="DO103" s="126"/>
      <c r="DP103" s="126"/>
      <c r="DQ103" s="126"/>
      <c r="DR103" s="126"/>
      <c r="DS103" s="210"/>
      <c r="DT103" s="126"/>
      <c r="DU103" s="126"/>
      <c r="DV103" s="126"/>
      <c r="DW103" s="126"/>
      <c r="DX103" s="126"/>
      <c r="DY103" s="126"/>
      <c r="DZ103" s="126"/>
      <c r="EA103" s="126"/>
      <c r="EB103" s="126"/>
      <c r="EC103" s="126"/>
      <c r="ED103" s="126"/>
      <c r="EE103" s="126"/>
      <c r="EF103" s="126"/>
      <c r="EG103" s="126"/>
      <c r="EH103" s="126"/>
      <c r="EI103" s="126"/>
      <c r="EJ103" s="126"/>
      <c r="EK103" s="126"/>
      <c r="EL103" s="126"/>
      <c r="EM103" s="126"/>
      <c r="EN103" s="126"/>
      <c r="EO103" s="126"/>
      <c r="EP103" s="126"/>
      <c r="EQ103" s="126"/>
      <c r="ER103" s="126"/>
      <c r="ES103" s="126"/>
      <c r="ET103" s="126"/>
      <c r="EU103" s="126"/>
      <c r="EV103" s="126"/>
      <c r="EW103" s="126"/>
      <c r="EX103" s="126"/>
      <c r="EY103" s="126"/>
      <c r="EZ103" s="126"/>
      <c r="FA103" s="126"/>
      <c r="FB103" s="126"/>
      <c r="FC103" s="126"/>
      <c r="FD103" s="126"/>
      <c r="FE103" s="126"/>
      <c r="FF103" s="126"/>
      <c r="FG103" s="126"/>
      <c r="FH103" s="126"/>
      <c r="FI103" s="126"/>
      <c r="FJ103" s="126"/>
      <c r="FK103" s="126"/>
      <c r="FL103" s="126"/>
      <c r="FM103" s="126"/>
      <c r="FN103" s="126"/>
      <c r="FO103" s="126"/>
      <c r="FP103" s="126"/>
      <c r="FQ103" s="126"/>
      <c r="FR103" s="126"/>
      <c r="FS103" s="126"/>
      <c r="FT103" s="126"/>
      <c r="FU103" s="126"/>
      <c r="FV103" s="126"/>
      <c r="FW103" s="126"/>
      <c r="FX103" s="126"/>
      <c r="FY103" s="126"/>
      <c r="FZ103" s="126"/>
      <c r="GA103" s="123"/>
      <c r="GB103" s="126"/>
      <c r="GC103" s="126"/>
      <c r="GD103" s="126"/>
      <c r="GQ103" s="123"/>
      <c r="GR103" s="123"/>
      <c r="GS103" s="123"/>
      <c r="GT103" s="123"/>
      <c r="GU103" s="123"/>
      <c r="GV103" s="123"/>
      <c r="GW103" s="123"/>
      <c r="GX103" s="123"/>
      <c r="GY103" s="123"/>
      <c r="GZ103" s="123"/>
      <c r="HA103" s="123"/>
      <c r="HB103" s="123"/>
      <c r="HC103" s="123"/>
      <c r="HD103" s="123"/>
      <c r="HE103" s="123"/>
      <c r="HF103" s="123"/>
      <c r="HG103" s="123"/>
      <c r="HH103" s="123"/>
      <c r="HI103" s="123"/>
      <c r="HJ103" s="123"/>
      <c r="HK103" s="123"/>
    </row>
    <row r="104" s="126" customFormat="1" spans="1:219">
      <c r="A104" s="142"/>
      <c r="B104" s="123"/>
      <c r="C104" s="126"/>
      <c r="D104" s="126"/>
      <c r="E104" s="126"/>
      <c r="F104" s="126"/>
      <c r="G104" s="126"/>
      <c r="H104" s="126"/>
      <c r="I104" s="126"/>
      <c r="J104" s="126"/>
      <c r="K104" s="126"/>
      <c r="L104" s="123"/>
      <c r="M104" s="126"/>
      <c r="N104" s="126"/>
      <c r="O104" s="126"/>
      <c r="P104" s="126"/>
      <c r="Q104" s="126"/>
      <c r="R104" s="123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  <c r="AW104" s="126"/>
      <c r="AX104" s="126"/>
      <c r="AY104" s="126"/>
      <c r="AZ104" s="126"/>
      <c r="BA104" s="126"/>
      <c r="BB104" s="126"/>
      <c r="BC104" s="126"/>
      <c r="BD104" s="126"/>
      <c r="BE104" s="126"/>
      <c r="BF104" s="126"/>
      <c r="BG104" s="126"/>
      <c r="BH104" s="126"/>
      <c r="BI104" s="126"/>
      <c r="BJ104" s="126"/>
      <c r="BK104" s="126"/>
      <c r="BL104" s="126"/>
      <c r="BM104" s="126"/>
      <c r="BN104" s="126"/>
      <c r="BO104" s="126"/>
      <c r="BP104" s="126"/>
      <c r="BQ104" s="126"/>
      <c r="BR104" s="126"/>
      <c r="BS104" s="126"/>
      <c r="BT104" s="126"/>
      <c r="BU104" s="126"/>
      <c r="BV104" s="126"/>
      <c r="BW104" s="126"/>
      <c r="BX104" s="126"/>
      <c r="BY104" s="126"/>
      <c r="BZ104" s="126"/>
      <c r="CA104" s="126"/>
      <c r="CB104" s="126"/>
      <c r="CC104" s="126"/>
      <c r="CD104" s="126"/>
      <c r="CE104" s="126"/>
      <c r="CF104" s="126"/>
      <c r="CG104" s="126"/>
      <c r="CH104" s="126"/>
      <c r="CI104" s="126"/>
      <c r="CJ104" s="126"/>
      <c r="CK104" s="126"/>
      <c r="CL104" s="126"/>
      <c r="CM104" s="126"/>
      <c r="CN104" s="126"/>
      <c r="CO104" s="126"/>
      <c r="CP104" s="126"/>
      <c r="CQ104" s="126"/>
      <c r="CR104" s="126"/>
      <c r="CS104" s="126"/>
      <c r="CT104" s="126"/>
      <c r="CU104" s="126"/>
      <c r="CV104" s="126"/>
      <c r="CW104" s="126"/>
      <c r="CX104" s="126"/>
      <c r="CY104" s="126"/>
      <c r="CZ104" s="126"/>
      <c r="DA104" s="126"/>
      <c r="DB104" s="126"/>
      <c r="DC104" s="126"/>
      <c r="DD104" s="126"/>
      <c r="DE104" s="126"/>
      <c r="DF104" s="126"/>
      <c r="DG104" s="126"/>
      <c r="DH104" s="126"/>
      <c r="DI104" s="126"/>
      <c r="DJ104" s="126"/>
      <c r="DK104" s="126"/>
      <c r="DL104" s="126"/>
      <c r="DM104" s="126"/>
      <c r="DN104" s="126"/>
      <c r="DO104" s="126"/>
      <c r="DP104" s="126"/>
      <c r="DQ104" s="126"/>
      <c r="DR104" s="126"/>
      <c r="DS104" s="210"/>
      <c r="DT104" s="126"/>
      <c r="DU104" s="126"/>
      <c r="DV104" s="126"/>
      <c r="DW104" s="126"/>
      <c r="DX104" s="126"/>
      <c r="DY104" s="126"/>
      <c r="DZ104" s="126"/>
      <c r="EA104" s="126"/>
      <c r="EB104" s="126"/>
      <c r="EC104" s="126"/>
      <c r="ED104" s="126"/>
      <c r="EE104" s="126"/>
      <c r="EF104" s="126"/>
      <c r="EG104" s="126"/>
      <c r="EH104" s="126"/>
      <c r="EI104" s="126"/>
      <c r="EJ104" s="126"/>
      <c r="EK104" s="126"/>
      <c r="EL104" s="126"/>
      <c r="EM104" s="126"/>
      <c r="EN104" s="126"/>
      <c r="EO104" s="126"/>
      <c r="EP104" s="126"/>
      <c r="EQ104" s="126"/>
      <c r="ER104" s="126"/>
      <c r="ES104" s="126"/>
      <c r="ET104" s="126"/>
      <c r="EU104" s="126"/>
      <c r="EV104" s="126"/>
      <c r="EW104" s="126"/>
      <c r="EX104" s="126"/>
      <c r="EY104" s="126"/>
      <c r="EZ104" s="126"/>
      <c r="FA104" s="126"/>
      <c r="FB104" s="126"/>
      <c r="FC104" s="126"/>
      <c r="FD104" s="126"/>
      <c r="FE104" s="126"/>
      <c r="FF104" s="126"/>
      <c r="FG104" s="126"/>
      <c r="FH104" s="126"/>
      <c r="FI104" s="126"/>
      <c r="FJ104" s="126"/>
      <c r="FK104" s="126"/>
      <c r="FL104" s="126"/>
      <c r="FM104" s="126"/>
      <c r="FN104" s="126"/>
      <c r="FO104" s="126"/>
      <c r="FP104" s="126"/>
      <c r="FQ104" s="126"/>
      <c r="FR104" s="126"/>
      <c r="FS104" s="126"/>
      <c r="FT104" s="126"/>
      <c r="FU104" s="126"/>
      <c r="FV104" s="126"/>
      <c r="FW104" s="126"/>
      <c r="FX104" s="126"/>
      <c r="FY104" s="126"/>
      <c r="FZ104" s="126"/>
      <c r="GA104" s="123"/>
      <c r="GB104" s="126"/>
      <c r="GC104" s="126"/>
      <c r="GD104" s="126"/>
      <c r="GQ104" s="123"/>
      <c r="GV104" s="123"/>
      <c r="GW104" s="123"/>
      <c r="GX104" s="123"/>
      <c r="GY104" s="123"/>
      <c r="GZ104" s="123"/>
      <c r="HA104" s="123"/>
      <c r="HB104" s="123"/>
      <c r="HC104" s="123"/>
      <c r="HD104" s="123"/>
      <c r="HE104" s="123"/>
      <c r="HF104" s="123"/>
      <c r="HG104" s="123"/>
      <c r="HH104" s="123"/>
      <c r="HI104" s="123"/>
      <c r="HJ104" s="123"/>
      <c r="HK104" s="123"/>
    </row>
    <row r="105" s="126" customFormat="1" spans="1:219">
      <c r="B105" s="123"/>
      <c r="C105" s="126"/>
      <c r="D105" s="126"/>
      <c r="E105" s="126"/>
      <c r="F105" s="126"/>
      <c r="G105" s="126"/>
      <c r="H105" s="126"/>
      <c r="I105" s="126"/>
      <c r="J105" s="126"/>
      <c r="K105" s="126"/>
      <c r="L105" s="123"/>
      <c r="M105" s="126"/>
      <c r="N105" s="126"/>
      <c r="O105" s="126"/>
      <c r="P105" s="126"/>
      <c r="Q105" s="126"/>
      <c r="R105" s="123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126"/>
      <c r="BI105" s="126"/>
      <c r="BJ105" s="126"/>
      <c r="BK105" s="126"/>
      <c r="BL105" s="126"/>
      <c r="BM105" s="126"/>
      <c r="BN105" s="126"/>
      <c r="BO105" s="126"/>
      <c r="BP105" s="126"/>
      <c r="BQ105" s="126"/>
      <c r="BR105" s="126"/>
      <c r="BS105" s="126"/>
      <c r="BT105" s="126"/>
      <c r="BU105" s="126"/>
      <c r="BV105" s="126"/>
      <c r="BW105" s="126"/>
      <c r="BX105" s="126"/>
      <c r="BY105" s="126"/>
      <c r="BZ105" s="126"/>
      <c r="CA105" s="126"/>
      <c r="CB105" s="126"/>
      <c r="CC105" s="126"/>
      <c r="CD105" s="126"/>
      <c r="CE105" s="126"/>
      <c r="CF105" s="126"/>
      <c r="CG105" s="126"/>
      <c r="CH105" s="126"/>
      <c r="CI105" s="126"/>
      <c r="CJ105" s="126"/>
      <c r="CK105" s="126"/>
      <c r="CL105" s="126"/>
      <c r="CM105" s="126"/>
      <c r="CN105" s="126"/>
      <c r="CO105" s="126"/>
      <c r="CP105" s="126"/>
      <c r="CQ105" s="126"/>
      <c r="CR105" s="126"/>
      <c r="CS105" s="126"/>
      <c r="CT105" s="126"/>
      <c r="CU105" s="126"/>
      <c r="CV105" s="126"/>
      <c r="CW105" s="126"/>
      <c r="CX105" s="126"/>
      <c r="CY105" s="126"/>
      <c r="CZ105" s="126"/>
      <c r="DA105" s="126"/>
      <c r="DB105" s="126"/>
      <c r="DC105" s="126"/>
      <c r="DD105" s="126"/>
      <c r="DE105" s="126"/>
      <c r="DF105" s="126"/>
      <c r="DG105" s="126"/>
      <c r="DH105" s="126"/>
      <c r="DI105" s="126"/>
      <c r="DJ105" s="126"/>
      <c r="DK105" s="126"/>
      <c r="DL105" s="126"/>
      <c r="DM105" s="126"/>
      <c r="DN105" s="126"/>
      <c r="DO105" s="126"/>
      <c r="DP105" s="126"/>
      <c r="DQ105" s="126"/>
      <c r="DR105" s="126"/>
      <c r="DS105" s="210"/>
      <c r="DT105" s="126"/>
      <c r="DU105" s="126"/>
      <c r="DV105" s="126"/>
      <c r="DW105" s="126"/>
      <c r="DX105" s="126"/>
      <c r="DY105" s="126"/>
      <c r="DZ105" s="126"/>
      <c r="EA105" s="126"/>
      <c r="EB105" s="126"/>
      <c r="EC105" s="126"/>
      <c r="ED105" s="126"/>
      <c r="EE105" s="126"/>
      <c r="EF105" s="126"/>
      <c r="EG105" s="126"/>
      <c r="EH105" s="126"/>
      <c r="EI105" s="126"/>
      <c r="EJ105" s="126"/>
      <c r="EK105" s="126"/>
      <c r="EL105" s="126"/>
      <c r="EM105" s="126"/>
      <c r="EN105" s="126"/>
      <c r="EO105" s="126"/>
      <c r="EP105" s="126"/>
      <c r="EQ105" s="126"/>
      <c r="ER105" s="126"/>
      <c r="ES105" s="126"/>
      <c r="ET105" s="126"/>
      <c r="EU105" s="126"/>
      <c r="EV105" s="126"/>
      <c r="EW105" s="126"/>
      <c r="EX105" s="126"/>
      <c r="EY105" s="126"/>
      <c r="EZ105" s="126"/>
      <c r="FA105" s="126"/>
      <c r="FB105" s="126"/>
      <c r="FC105" s="126"/>
      <c r="FD105" s="126"/>
      <c r="FE105" s="126"/>
      <c r="FF105" s="126"/>
      <c r="FG105" s="126"/>
      <c r="FH105" s="126"/>
      <c r="FI105" s="126"/>
      <c r="FJ105" s="126"/>
      <c r="FK105" s="126"/>
      <c r="FL105" s="126"/>
      <c r="FM105" s="126"/>
      <c r="FN105" s="126"/>
      <c r="FO105" s="126"/>
      <c r="FP105" s="126"/>
      <c r="FQ105" s="126"/>
      <c r="FR105" s="126"/>
      <c r="FS105" s="126"/>
      <c r="FT105" s="126"/>
      <c r="FU105" s="126"/>
      <c r="FV105" s="126"/>
      <c r="FW105" s="126"/>
      <c r="FX105" s="126"/>
      <c r="FY105" s="126"/>
      <c r="FZ105" s="126"/>
      <c r="GA105" s="123"/>
      <c r="GB105" s="126"/>
      <c r="GC105" s="126"/>
      <c r="GD105" s="126"/>
      <c r="GV105" s="123"/>
      <c r="GW105" s="123"/>
      <c r="GX105" s="123"/>
      <c r="GY105" s="123"/>
      <c r="GZ105" s="123"/>
      <c r="HA105" s="123"/>
      <c r="HB105" s="123"/>
      <c r="HC105" s="123"/>
      <c r="HD105" s="123"/>
      <c r="HE105" s="123"/>
      <c r="HF105" s="123"/>
      <c r="HG105" s="123"/>
      <c r="HH105" s="123"/>
      <c r="HI105" s="123"/>
      <c r="HJ105" s="123"/>
      <c r="HK105" s="123"/>
    </row>
    <row r="106" s="126" customFormat="1" spans="1:219">
      <c r="B106" s="123"/>
      <c r="C106" s="126"/>
      <c r="D106" s="126"/>
      <c r="E106" s="126"/>
      <c r="F106" s="126"/>
      <c r="G106" s="126"/>
      <c r="H106" s="126"/>
      <c r="I106" s="126"/>
      <c r="J106" s="126"/>
      <c r="K106" s="126"/>
      <c r="L106" s="123"/>
      <c r="M106" s="126"/>
      <c r="N106" s="126"/>
      <c r="O106" s="126"/>
      <c r="P106" s="126"/>
      <c r="Q106" s="126"/>
      <c r="R106" s="123"/>
      <c r="S106" s="126"/>
      <c r="T106" s="126"/>
      <c r="U106" s="126"/>
      <c r="V106" s="126"/>
      <c r="W106" s="123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  <c r="AW106" s="126"/>
      <c r="AX106" s="126"/>
      <c r="AY106" s="126"/>
      <c r="AZ106" s="126"/>
      <c r="BA106" s="126"/>
      <c r="BB106" s="126"/>
      <c r="BC106" s="126"/>
      <c r="BD106" s="126"/>
      <c r="BE106" s="126"/>
      <c r="BF106" s="126"/>
      <c r="BG106" s="126"/>
      <c r="BH106" s="126"/>
      <c r="BI106" s="126"/>
      <c r="BJ106" s="126"/>
      <c r="BK106" s="126"/>
      <c r="BL106" s="126"/>
      <c r="BM106" s="126"/>
      <c r="BN106" s="126"/>
      <c r="BO106" s="126"/>
      <c r="BP106" s="126"/>
      <c r="BQ106" s="126"/>
      <c r="BR106" s="126"/>
      <c r="BS106" s="126"/>
      <c r="BT106" s="126"/>
      <c r="BU106" s="126"/>
      <c r="BV106" s="126"/>
      <c r="BW106" s="126"/>
      <c r="BX106" s="126"/>
      <c r="BY106" s="126"/>
      <c r="BZ106" s="126"/>
      <c r="CA106" s="126"/>
      <c r="CB106" s="126"/>
      <c r="CC106" s="126"/>
      <c r="CD106" s="126"/>
      <c r="CE106" s="126"/>
      <c r="CF106" s="126"/>
      <c r="CG106" s="126"/>
      <c r="CH106" s="126"/>
      <c r="CI106" s="126"/>
      <c r="CJ106" s="126"/>
      <c r="CK106" s="126"/>
      <c r="CL106" s="126"/>
      <c r="CM106" s="126"/>
      <c r="CN106" s="126"/>
      <c r="CO106" s="126"/>
      <c r="CP106" s="126"/>
      <c r="CQ106" s="126"/>
      <c r="CR106" s="126"/>
      <c r="CS106" s="126"/>
      <c r="CT106" s="126"/>
      <c r="CU106" s="126"/>
      <c r="CV106" s="126"/>
      <c r="CW106" s="126"/>
      <c r="CX106" s="126"/>
      <c r="CY106" s="126"/>
      <c r="CZ106" s="126"/>
      <c r="DA106" s="126"/>
      <c r="DB106" s="126"/>
      <c r="DC106" s="126"/>
      <c r="DD106" s="126"/>
      <c r="DE106" s="126"/>
      <c r="DF106" s="126"/>
      <c r="DG106" s="126"/>
      <c r="DH106" s="126"/>
      <c r="DI106" s="126"/>
      <c r="DJ106" s="126"/>
      <c r="DK106" s="126"/>
      <c r="DL106" s="126"/>
      <c r="DM106" s="126"/>
      <c r="DN106" s="126"/>
      <c r="DO106" s="126"/>
      <c r="DP106" s="126"/>
      <c r="DQ106" s="126"/>
      <c r="DR106" s="126"/>
      <c r="DS106" s="210"/>
      <c r="DT106" s="126"/>
      <c r="DU106" s="126"/>
      <c r="DV106" s="126"/>
      <c r="DW106" s="126"/>
      <c r="DX106" s="126"/>
      <c r="DY106" s="126"/>
      <c r="DZ106" s="126"/>
      <c r="EA106" s="126"/>
      <c r="EB106" s="126"/>
      <c r="EC106" s="126"/>
      <c r="ED106" s="126"/>
      <c r="EE106" s="126"/>
      <c r="EF106" s="126"/>
      <c r="EG106" s="126"/>
      <c r="EH106" s="126"/>
      <c r="EI106" s="126"/>
      <c r="EJ106" s="126"/>
      <c r="EK106" s="126"/>
      <c r="EL106" s="126"/>
      <c r="EM106" s="126"/>
      <c r="EN106" s="126"/>
      <c r="EO106" s="126"/>
      <c r="EP106" s="126"/>
      <c r="EQ106" s="126"/>
      <c r="ER106" s="126"/>
      <c r="ES106" s="126"/>
      <c r="ET106" s="126"/>
      <c r="EU106" s="126"/>
      <c r="EV106" s="126"/>
      <c r="EW106" s="126"/>
      <c r="EX106" s="126"/>
      <c r="EY106" s="126"/>
      <c r="EZ106" s="126"/>
      <c r="FA106" s="126"/>
      <c r="FB106" s="126"/>
      <c r="FC106" s="126"/>
      <c r="FD106" s="126"/>
      <c r="FE106" s="126"/>
      <c r="FF106" s="126"/>
      <c r="FG106" s="126"/>
      <c r="FH106" s="126"/>
      <c r="FI106" s="126"/>
      <c r="FJ106" s="126"/>
      <c r="FK106" s="126"/>
      <c r="FL106" s="126"/>
      <c r="FM106" s="126"/>
      <c r="FN106" s="126"/>
      <c r="FO106" s="126"/>
      <c r="FP106" s="126"/>
      <c r="FQ106" s="126"/>
      <c r="FR106" s="126"/>
      <c r="FS106" s="126"/>
      <c r="FT106" s="126"/>
      <c r="FU106" s="126"/>
      <c r="FV106" s="126"/>
      <c r="FW106" s="126"/>
      <c r="FX106" s="126"/>
      <c r="FY106" s="126"/>
      <c r="FZ106" s="126"/>
      <c r="GA106" s="123"/>
      <c r="GB106" s="126"/>
      <c r="GC106" s="126"/>
      <c r="GD106" s="126"/>
      <c r="GV106" s="123"/>
      <c r="GW106" s="123"/>
      <c r="GX106" s="123"/>
      <c r="GY106" s="123"/>
      <c r="GZ106" s="123"/>
      <c r="HA106" s="123"/>
      <c r="HB106" s="123"/>
      <c r="HC106" s="123"/>
      <c r="HD106" s="123"/>
      <c r="HE106" s="123"/>
      <c r="HF106" s="123"/>
      <c r="HG106" s="123"/>
      <c r="HH106" s="123"/>
      <c r="HI106" s="123"/>
      <c r="HJ106" s="123"/>
      <c r="HK106" s="123"/>
    </row>
    <row r="107" s="126" customFormat="1" spans="1:219">
      <c r="B107" s="123"/>
      <c r="C107" s="126"/>
      <c r="D107" s="126"/>
      <c r="E107" s="126"/>
      <c r="F107" s="126"/>
      <c r="G107" s="126"/>
      <c r="H107" s="126"/>
      <c r="I107" s="126"/>
      <c r="J107" s="126"/>
      <c r="K107" s="126"/>
      <c r="L107" s="123"/>
      <c r="M107" s="126"/>
      <c r="N107" s="126"/>
      <c r="O107" s="126"/>
      <c r="P107" s="126"/>
      <c r="Q107" s="126"/>
      <c r="R107" s="123"/>
      <c r="S107" s="126"/>
      <c r="T107" s="126"/>
      <c r="U107" s="126"/>
      <c r="V107" s="126"/>
      <c r="W107" s="123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  <c r="AP107" s="126"/>
      <c r="AQ107" s="126"/>
      <c r="AR107" s="126"/>
      <c r="AS107" s="126"/>
      <c r="AT107" s="126"/>
      <c r="AU107" s="126"/>
      <c r="AV107" s="126"/>
      <c r="AW107" s="126"/>
      <c r="AX107" s="126"/>
      <c r="AY107" s="126"/>
      <c r="AZ107" s="126"/>
      <c r="BA107" s="126"/>
      <c r="BB107" s="126"/>
      <c r="BC107" s="126"/>
      <c r="BD107" s="126"/>
      <c r="BE107" s="126"/>
      <c r="BF107" s="126"/>
      <c r="BG107" s="126"/>
      <c r="BH107" s="126"/>
      <c r="BI107" s="126"/>
      <c r="BJ107" s="126"/>
      <c r="BK107" s="126"/>
      <c r="BL107" s="126"/>
      <c r="BM107" s="123"/>
      <c r="BN107" s="126"/>
      <c r="BO107" s="126"/>
      <c r="BP107" s="126"/>
      <c r="BQ107" s="126"/>
      <c r="BR107" s="126"/>
      <c r="BS107" s="126"/>
      <c r="BT107" s="126"/>
      <c r="BU107" s="126"/>
      <c r="BV107" s="126"/>
      <c r="BW107" s="126"/>
      <c r="BX107" s="126"/>
      <c r="BY107" s="126"/>
      <c r="BZ107" s="126"/>
      <c r="CA107" s="126"/>
      <c r="CB107" s="126"/>
      <c r="CC107" s="126"/>
      <c r="CD107" s="126"/>
      <c r="CE107" s="126"/>
      <c r="CF107" s="126"/>
      <c r="CG107" s="126"/>
      <c r="CH107" s="126"/>
      <c r="CI107" s="126"/>
      <c r="CJ107" s="126"/>
      <c r="CK107" s="126"/>
      <c r="CL107" s="126"/>
      <c r="CM107" s="126"/>
      <c r="CN107" s="126"/>
      <c r="CO107" s="126"/>
      <c r="CP107" s="126"/>
      <c r="CQ107" s="126"/>
      <c r="CR107" s="126"/>
      <c r="CS107" s="126"/>
      <c r="CT107" s="126"/>
      <c r="CU107" s="126"/>
      <c r="CV107" s="126"/>
      <c r="CW107" s="126"/>
      <c r="CX107" s="126"/>
      <c r="CY107" s="126"/>
      <c r="CZ107" s="126"/>
      <c r="DA107" s="126"/>
      <c r="DB107" s="126"/>
      <c r="DC107" s="126"/>
      <c r="DD107" s="126"/>
      <c r="DE107" s="126"/>
      <c r="DF107" s="126"/>
      <c r="DG107" s="126"/>
      <c r="DH107" s="126"/>
      <c r="DI107" s="126"/>
      <c r="DJ107" s="126"/>
      <c r="DK107" s="126"/>
      <c r="DL107" s="126"/>
      <c r="DM107" s="126"/>
      <c r="DN107" s="126"/>
      <c r="DO107" s="126"/>
      <c r="DP107" s="126"/>
      <c r="DQ107" s="126"/>
      <c r="DR107" s="126"/>
      <c r="DS107" s="210"/>
      <c r="DT107" s="126"/>
      <c r="DU107" s="126"/>
      <c r="DV107" s="126"/>
      <c r="DW107" s="126"/>
      <c r="DX107" s="126"/>
      <c r="DY107" s="126"/>
      <c r="DZ107" s="126"/>
      <c r="EA107" s="126"/>
      <c r="EB107" s="126"/>
      <c r="EC107" s="126"/>
      <c r="ED107" s="126"/>
      <c r="EE107" s="126"/>
      <c r="EF107" s="126"/>
      <c r="EG107" s="126"/>
      <c r="EH107" s="126"/>
      <c r="EI107" s="126"/>
      <c r="EJ107" s="126"/>
      <c r="EK107" s="126"/>
      <c r="EL107" s="126"/>
      <c r="EM107" s="126"/>
      <c r="EN107" s="126"/>
      <c r="EO107" s="126"/>
      <c r="EP107" s="126"/>
      <c r="EQ107" s="126"/>
      <c r="ER107" s="126"/>
      <c r="ES107" s="126"/>
      <c r="ET107" s="126"/>
      <c r="EU107" s="126"/>
      <c r="EV107" s="126"/>
      <c r="EW107" s="126"/>
      <c r="EX107" s="126"/>
      <c r="EY107" s="126"/>
      <c r="EZ107" s="126"/>
      <c r="FA107" s="126"/>
      <c r="FB107" s="126"/>
      <c r="FC107" s="126"/>
      <c r="FD107" s="126"/>
      <c r="FE107" s="126"/>
      <c r="FF107" s="126"/>
      <c r="FG107" s="126"/>
      <c r="FH107" s="126"/>
      <c r="FI107" s="126"/>
      <c r="FJ107" s="126"/>
      <c r="FK107" s="126"/>
      <c r="FL107" s="126"/>
      <c r="FM107" s="126"/>
      <c r="FN107" s="126"/>
      <c r="FO107" s="126"/>
      <c r="FP107" s="126"/>
      <c r="FQ107" s="126"/>
      <c r="FR107" s="126"/>
      <c r="FS107" s="126"/>
      <c r="FT107" s="126"/>
      <c r="FU107" s="126"/>
      <c r="FV107" s="126"/>
      <c r="FW107" s="126"/>
      <c r="FX107" s="126"/>
      <c r="FY107" s="126"/>
      <c r="FZ107" s="126"/>
      <c r="GA107" s="123"/>
      <c r="GB107" s="126"/>
      <c r="GC107" s="126"/>
      <c r="GD107" s="126"/>
      <c r="GQ107" s="123"/>
      <c r="GR107" s="123"/>
      <c r="GS107" s="123"/>
      <c r="GT107" s="123"/>
      <c r="GU107" s="123"/>
      <c r="GV107" s="123"/>
      <c r="GW107" s="123"/>
      <c r="GX107" s="123"/>
      <c r="GY107" s="123"/>
      <c r="GZ107" s="123"/>
      <c r="HA107" s="123"/>
      <c r="HB107" s="123"/>
      <c r="HC107" s="123"/>
      <c r="HD107" s="123"/>
      <c r="HE107" s="123"/>
      <c r="HF107" s="123"/>
      <c r="HG107" s="123"/>
      <c r="HH107" s="123"/>
      <c r="HI107" s="123"/>
      <c r="HJ107" s="123"/>
      <c r="HK107" s="123"/>
    </row>
    <row r="108" s="126" customFormat="1" spans="1:219">
      <c r="B108" s="123"/>
      <c r="C108" s="126"/>
      <c r="D108" s="126"/>
      <c r="E108" s="126"/>
      <c r="F108" s="126"/>
      <c r="G108" s="126"/>
      <c r="H108" s="126"/>
      <c r="I108" s="126"/>
      <c r="J108" s="126"/>
      <c r="K108" s="126"/>
      <c r="L108" s="123"/>
      <c r="M108" s="126"/>
      <c r="N108" s="126"/>
      <c r="O108" s="126"/>
      <c r="P108" s="126"/>
      <c r="Q108" s="126"/>
      <c r="R108" s="123"/>
      <c r="S108" s="126"/>
      <c r="T108" s="126"/>
      <c r="U108" s="126"/>
      <c r="V108" s="126"/>
      <c r="W108" s="123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  <c r="AP108" s="126"/>
      <c r="AQ108" s="126"/>
      <c r="AR108" s="126"/>
      <c r="AS108" s="126"/>
      <c r="AT108" s="126"/>
      <c r="AU108" s="126"/>
      <c r="AV108" s="126"/>
      <c r="AW108" s="126"/>
      <c r="AX108" s="126"/>
      <c r="AY108" s="126"/>
      <c r="AZ108" s="126"/>
      <c r="BA108" s="126"/>
      <c r="BB108" s="126"/>
      <c r="BC108" s="126"/>
      <c r="BD108" s="126"/>
      <c r="BE108" s="126"/>
      <c r="BF108" s="126"/>
      <c r="BG108" s="126"/>
      <c r="BH108" s="126"/>
      <c r="BI108" s="126"/>
      <c r="BJ108" s="126"/>
      <c r="BK108" s="126"/>
      <c r="BL108" s="126"/>
      <c r="BM108" s="123"/>
      <c r="BN108" s="126"/>
      <c r="BO108" s="126"/>
      <c r="BP108" s="126"/>
      <c r="BQ108" s="126"/>
      <c r="BR108" s="126"/>
      <c r="BS108" s="126"/>
      <c r="BT108" s="126"/>
      <c r="BU108" s="126"/>
      <c r="BV108" s="126"/>
      <c r="BW108" s="126"/>
      <c r="BX108" s="126"/>
      <c r="BY108" s="126"/>
      <c r="BZ108" s="126"/>
      <c r="CA108" s="126"/>
      <c r="CB108" s="126"/>
      <c r="CC108" s="126"/>
      <c r="CD108" s="126"/>
      <c r="CE108" s="126"/>
      <c r="CF108" s="126"/>
      <c r="CG108" s="126"/>
      <c r="CH108" s="126"/>
      <c r="CI108" s="126"/>
      <c r="CJ108" s="126"/>
      <c r="CK108" s="126"/>
      <c r="CL108" s="126"/>
      <c r="CM108" s="126"/>
      <c r="CN108" s="126"/>
      <c r="CO108" s="126"/>
      <c r="CP108" s="126"/>
      <c r="CQ108" s="126"/>
      <c r="CR108" s="126"/>
      <c r="CS108" s="126"/>
      <c r="CT108" s="126"/>
      <c r="CU108" s="126"/>
      <c r="CV108" s="126"/>
      <c r="CW108" s="126"/>
      <c r="CX108" s="126"/>
      <c r="CY108" s="126"/>
      <c r="CZ108" s="126"/>
      <c r="DA108" s="126"/>
      <c r="DB108" s="126"/>
      <c r="DC108" s="126"/>
      <c r="DD108" s="126"/>
      <c r="DE108" s="126"/>
      <c r="DF108" s="126"/>
      <c r="DG108" s="126"/>
      <c r="DH108" s="126"/>
      <c r="DI108" s="126"/>
      <c r="DJ108" s="126"/>
      <c r="DK108" s="126"/>
      <c r="DL108" s="126"/>
      <c r="DM108" s="126"/>
      <c r="DN108" s="126"/>
      <c r="DO108" s="126"/>
      <c r="DP108" s="126"/>
      <c r="DQ108" s="126"/>
      <c r="DR108" s="126"/>
      <c r="DS108" s="210"/>
      <c r="DT108" s="126"/>
      <c r="DU108" s="126"/>
      <c r="DV108" s="126"/>
      <c r="DW108" s="126"/>
      <c r="DX108" s="126"/>
      <c r="DY108" s="126"/>
      <c r="DZ108" s="126"/>
      <c r="EA108" s="126"/>
      <c r="EB108" s="126"/>
      <c r="EC108" s="126"/>
      <c r="ED108" s="126"/>
      <c r="EE108" s="126"/>
      <c r="EF108" s="126"/>
      <c r="EG108" s="126"/>
      <c r="EH108" s="126"/>
      <c r="EI108" s="126"/>
      <c r="EJ108" s="126"/>
      <c r="EK108" s="126"/>
      <c r="EL108" s="126"/>
      <c r="EM108" s="126"/>
      <c r="EN108" s="126"/>
      <c r="EO108" s="126"/>
      <c r="EP108" s="126"/>
      <c r="EQ108" s="126"/>
      <c r="ER108" s="126"/>
      <c r="ES108" s="126"/>
      <c r="ET108" s="126"/>
      <c r="EU108" s="126"/>
      <c r="EV108" s="126"/>
      <c r="EW108" s="126"/>
      <c r="EX108" s="126"/>
      <c r="EY108" s="126"/>
      <c r="EZ108" s="126"/>
      <c r="FA108" s="126"/>
      <c r="FB108" s="126"/>
      <c r="FC108" s="126"/>
      <c r="FD108" s="126"/>
      <c r="FE108" s="126"/>
      <c r="FF108" s="126"/>
      <c r="FG108" s="126"/>
      <c r="FH108" s="126"/>
      <c r="FI108" s="126"/>
      <c r="FJ108" s="126"/>
      <c r="FK108" s="126"/>
      <c r="FL108" s="126"/>
      <c r="FM108" s="126"/>
      <c r="FN108" s="126"/>
      <c r="FO108" s="126"/>
      <c r="FP108" s="126"/>
      <c r="FQ108" s="126"/>
      <c r="FR108" s="126"/>
      <c r="FS108" s="126"/>
      <c r="FT108" s="126"/>
      <c r="FU108" s="126"/>
      <c r="FV108" s="126"/>
      <c r="FW108" s="126"/>
      <c r="FX108" s="126"/>
      <c r="FY108" s="126"/>
      <c r="FZ108" s="126"/>
      <c r="GA108" s="123"/>
      <c r="GB108" s="126"/>
      <c r="GC108" s="126"/>
      <c r="GD108" s="126"/>
      <c r="GV108" s="123"/>
      <c r="GW108" s="123"/>
      <c r="GX108" s="123"/>
      <c r="GY108" s="123"/>
      <c r="GZ108" s="123"/>
      <c r="HA108" s="123"/>
      <c r="HB108" s="123"/>
      <c r="HC108" s="123"/>
      <c r="HD108" s="123"/>
      <c r="HE108" s="123"/>
      <c r="HF108" s="123"/>
      <c r="HG108" s="123"/>
      <c r="HH108" s="123"/>
      <c r="HI108" s="123"/>
      <c r="HJ108" s="123"/>
      <c r="HK108" s="123"/>
    </row>
    <row r="109" s="126" customFormat="1" spans="1:219">
      <c r="B109" s="123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3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  <c r="BC109" s="126"/>
      <c r="BD109" s="126"/>
      <c r="BE109" s="126"/>
      <c r="BF109" s="126"/>
      <c r="BG109" s="126"/>
      <c r="BH109" s="126"/>
      <c r="BI109" s="126"/>
      <c r="BJ109" s="126"/>
      <c r="BK109" s="126"/>
      <c r="BL109" s="126"/>
      <c r="BM109" s="126"/>
      <c r="BN109" s="126"/>
      <c r="BO109" s="126"/>
      <c r="BP109" s="126"/>
      <c r="BQ109" s="126"/>
      <c r="BR109" s="126"/>
      <c r="BS109" s="126"/>
      <c r="BT109" s="126"/>
      <c r="BU109" s="126"/>
      <c r="BV109" s="126"/>
      <c r="BW109" s="126"/>
      <c r="BX109" s="126"/>
      <c r="BY109" s="126"/>
      <c r="BZ109" s="126"/>
      <c r="CA109" s="126"/>
      <c r="CB109" s="126"/>
      <c r="CC109" s="126"/>
      <c r="CD109" s="126"/>
      <c r="CE109" s="126"/>
      <c r="CF109" s="126"/>
      <c r="CG109" s="126"/>
      <c r="CH109" s="126"/>
      <c r="CI109" s="126"/>
      <c r="CJ109" s="126"/>
      <c r="CK109" s="126"/>
      <c r="CL109" s="126"/>
      <c r="CM109" s="126"/>
      <c r="CN109" s="126"/>
      <c r="CO109" s="126"/>
      <c r="CP109" s="126"/>
      <c r="CQ109" s="126"/>
      <c r="CR109" s="126"/>
      <c r="CS109" s="126"/>
      <c r="CT109" s="126"/>
      <c r="CU109" s="126"/>
      <c r="CV109" s="126"/>
      <c r="CW109" s="126"/>
      <c r="CX109" s="126"/>
      <c r="CY109" s="126"/>
      <c r="CZ109" s="126"/>
      <c r="DA109" s="126"/>
      <c r="DB109" s="126"/>
      <c r="DC109" s="126"/>
      <c r="DD109" s="126"/>
      <c r="DE109" s="126"/>
      <c r="DF109" s="126"/>
      <c r="DG109" s="126"/>
      <c r="DH109" s="126"/>
      <c r="DI109" s="126"/>
      <c r="DJ109" s="126"/>
      <c r="DK109" s="126"/>
      <c r="DL109" s="126"/>
      <c r="DM109" s="126"/>
      <c r="DN109" s="126"/>
      <c r="DO109" s="126"/>
      <c r="DP109" s="126"/>
      <c r="DQ109" s="126"/>
      <c r="DR109" s="126"/>
      <c r="DS109" s="210"/>
      <c r="DT109" s="126"/>
      <c r="DU109" s="126"/>
      <c r="DV109" s="126"/>
      <c r="DW109" s="126"/>
      <c r="DX109" s="126"/>
      <c r="DY109" s="126"/>
      <c r="DZ109" s="126"/>
      <c r="EA109" s="126"/>
      <c r="EB109" s="126"/>
      <c r="EC109" s="126"/>
      <c r="ED109" s="126"/>
      <c r="EE109" s="126"/>
      <c r="EF109" s="126"/>
      <c r="EG109" s="126"/>
      <c r="EH109" s="126"/>
      <c r="EI109" s="126"/>
      <c r="EJ109" s="126"/>
      <c r="EK109" s="126"/>
      <c r="EL109" s="126"/>
      <c r="EM109" s="126"/>
      <c r="EN109" s="126"/>
      <c r="EO109" s="126"/>
      <c r="EP109" s="126"/>
      <c r="EQ109" s="126"/>
      <c r="ER109" s="126"/>
      <c r="ES109" s="126"/>
      <c r="ET109" s="126"/>
      <c r="EU109" s="126"/>
      <c r="EV109" s="126"/>
      <c r="EW109" s="126"/>
      <c r="EX109" s="126"/>
      <c r="EY109" s="126"/>
      <c r="EZ109" s="126"/>
      <c r="FA109" s="126"/>
      <c r="FB109" s="126"/>
      <c r="FC109" s="126"/>
      <c r="FD109" s="126"/>
      <c r="FE109" s="126"/>
      <c r="FF109" s="126"/>
      <c r="FG109" s="126"/>
      <c r="FH109" s="126"/>
      <c r="FI109" s="126"/>
      <c r="FJ109" s="126"/>
      <c r="FK109" s="126"/>
      <c r="FL109" s="126"/>
      <c r="FM109" s="126"/>
      <c r="FN109" s="126"/>
      <c r="FO109" s="126"/>
      <c r="FP109" s="126"/>
      <c r="FQ109" s="126"/>
      <c r="FR109" s="126"/>
      <c r="FS109" s="126"/>
      <c r="FT109" s="126"/>
      <c r="FU109" s="126"/>
      <c r="FV109" s="126"/>
      <c r="FW109" s="126"/>
      <c r="FX109" s="126"/>
      <c r="FY109" s="126"/>
      <c r="FZ109" s="126"/>
      <c r="GA109" s="123"/>
      <c r="GB109" s="126"/>
      <c r="GC109" s="126"/>
      <c r="GD109" s="126"/>
      <c r="GV109" s="123"/>
    </row>
    <row r="110" s="126" customFormat="1" spans="1:219">
      <c r="B110" s="123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3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  <c r="BC110" s="126"/>
      <c r="BD110" s="126"/>
      <c r="BE110" s="126"/>
      <c r="BF110" s="126"/>
      <c r="BG110" s="126"/>
      <c r="BH110" s="126"/>
      <c r="BI110" s="126"/>
      <c r="BJ110" s="126"/>
      <c r="BK110" s="126"/>
      <c r="BL110" s="126"/>
      <c r="BM110" s="123"/>
      <c r="BN110" s="126"/>
      <c r="BO110" s="126"/>
      <c r="BP110" s="126"/>
      <c r="BQ110" s="126"/>
      <c r="BR110" s="126"/>
      <c r="BS110" s="126"/>
      <c r="BT110" s="126"/>
      <c r="BU110" s="126"/>
      <c r="BV110" s="126"/>
      <c r="BW110" s="126"/>
      <c r="BX110" s="126"/>
      <c r="BY110" s="126"/>
      <c r="BZ110" s="126"/>
      <c r="CA110" s="126"/>
      <c r="CB110" s="126"/>
      <c r="CC110" s="126"/>
      <c r="CD110" s="126"/>
      <c r="CE110" s="126"/>
      <c r="CF110" s="126"/>
      <c r="CG110" s="126"/>
      <c r="CH110" s="126"/>
      <c r="CI110" s="126"/>
      <c r="CJ110" s="126"/>
      <c r="CK110" s="126"/>
      <c r="CL110" s="126"/>
      <c r="CM110" s="126"/>
      <c r="CN110" s="126"/>
      <c r="CO110" s="126"/>
      <c r="CP110" s="126"/>
      <c r="CQ110" s="126"/>
      <c r="CR110" s="126"/>
      <c r="CS110" s="126"/>
      <c r="CT110" s="126"/>
      <c r="CU110" s="126"/>
      <c r="CV110" s="126"/>
      <c r="CW110" s="126"/>
      <c r="CX110" s="126"/>
      <c r="CY110" s="126"/>
      <c r="CZ110" s="126"/>
      <c r="DA110" s="126"/>
      <c r="DB110" s="126"/>
      <c r="DC110" s="126"/>
      <c r="DD110" s="126"/>
      <c r="DE110" s="126"/>
      <c r="DF110" s="126"/>
      <c r="DG110" s="126"/>
      <c r="DH110" s="126"/>
      <c r="DI110" s="126"/>
      <c r="DJ110" s="126"/>
      <c r="DK110" s="126"/>
      <c r="DL110" s="126"/>
      <c r="DM110" s="126"/>
      <c r="DN110" s="126"/>
      <c r="DO110" s="126"/>
      <c r="DP110" s="126"/>
      <c r="DQ110" s="126"/>
      <c r="DR110" s="126"/>
      <c r="DS110" s="210"/>
      <c r="DT110" s="126"/>
      <c r="DU110" s="126"/>
      <c r="DV110" s="126"/>
      <c r="DW110" s="126"/>
      <c r="DX110" s="126"/>
      <c r="DY110" s="126"/>
      <c r="DZ110" s="126"/>
      <c r="EA110" s="126"/>
      <c r="EB110" s="126"/>
      <c r="EC110" s="126"/>
      <c r="ED110" s="126"/>
      <c r="EE110" s="126"/>
      <c r="EF110" s="126"/>
      <c r="EG110" s="126"/>
      <c r="EH110" s="126"/>
      <c r="EI110" s="126"/>
      <c r="EJ110" s="126"/>
      <c r="EK110" s="126"/>
      <c r="EL110" s="126"/>
      <c r="EM110" s="126"/>
      <c r="EN110" s="126"/>
      <c r="EO110" s="126"/>
      <c r="EP110" s="126"/>
      <c r="EQ110" s="126"/>
      <c r="ER110" s="126"/>
      <c r="ES110" s="126"/>
      <c r="ET110" s="126"/>
      <c r="EU110" s="126"/>
      <c r="EV110" s="126"/>
      <c r="EW110" s="126"/>
      <c r="EX110" s="126"/>
      <c r="EY110" s="126"/>
      <c r="EZ110" s="126"/>
      <c r="FA110" s="126"/>
      <c r="FB110" s="126"/>
      <c r="FC110" s="126"/>
      <c r="FD110" s="126"/>
      <c r="FE110" s="126"/>
      <c r="FF110" s="126"/>
      <c r="FG110" s="126"/>
      <c r="FH110" s="126"/>
      <c r="FI110" s="126"/>
      <c r="FJ110" s="126"/>
      <c r="FK110" s="126"/>
      <c r="FL110" s="126"/>
      <c r="FM110" s="126"/>
      <c r="FN110" s="126"/>
      <c r="FO110" s="126"/>
      <c r="FP110" s="126"/>
      <c r="FQ110" s="126"/>
      <c r="FR110" s="126"/>
      <c r="FS110" s="126"/>
      <c r="FT110" s="126"/>
      <c r="FU110" s="126"/>
      <c r="FV110" s="126"/>
      <c r="FW110" s="126"/>
      <c r="FX110" s="126"/>
      <c r="FY110" s="126"/>
      <c r="FZ110" s="126"/>
      <c r="GA110" s="123"/>
      <c r="GB110" s="126"/>
      <c r="GC110" s="126"/>
      <c r="GD110" s="126"/>
      <c r="GV110" s="123"/>
    </row>
    <row r="111" s="126" customFormat="1" spans="1:219">
      <c r="A111" s="142"/>
      <c r="B111" s="123"/>
      <c r="C111" s="126"/>
      <c r="D111" s="126"/>
      <c r="E111" s="126"/>
      <c r="F111" s="126"/>
      <c r="G111" s="126"/>
      <c r="H111" s="126"/>
      <c r="I111" s="126"/>
      <c r="J111" s="126"/>
      <c r="K111" s="126"/>
      <c r="L111" s="123"/>
      <c r="M111" s="126"/>
      <c r="N111" s="126"/>
      <c r="O111" s="126"/>
      <c r="P111" s="126"/>
      <c r="Q111" s="126"/>
      <c r="R111" s="123"/>
      <c r="S111" s="126"/>
      <c r="T111" s="126"/>
      <c r="U111" s="126"/>
      <c r="V111" s="126"/>
      <c r="W111" s="123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3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  <c r="CJ111" s="126"/>
      <c r="CK111" s="126"/>
      <c r="CL111" s="126"/>
      <c r="CM111" s="126"/>
      <c r="CN111" s="126"/>
      <c r="CO111" s="126"/>
      <c r="CP111" s="126"/>
      <c r="CQ111" s="126"/>
      <c r="CR111" s="126"/>
      <c r="CS111" s="126"/>
      <c r="CT111" s="126"/>
      <c r="CU111" s="126"/>
      <c r="CV111" s="126"/>
      <c r="CW111" s="126"/>
      <c r="CX111" s="126"/>
      <c r="CY111" s="126"/>
      <c r="CZ111" s="126"/>
      <c r="DA111" s="126"/>
      <c r="DB111" s="126"/>
      <c r="DC111" s="126"/>
      <c r="DD111" s="126"/>
      <c r="DE111" s="126"/>
      <c r="DF111" s="126"/>
      <c r="DG111" s="126"/>
      <c r="DH111" s="126"/>
      <c r="DI111" s="126"/>
      <c r="DJ111" s="126"/>
      <c r="DK111" s="126"/>
      <c r="DL111" s="126"/>
      <c r="DM111" s="126"/>
      <c r="DN111" s="126"/>
      <c r="DO111" s="126"/>
      <c r="DP111" s="126"/>
      <c r="DQ111" s="126"/>
      <c r="DR111" s="126"/>
      <c r="DS111" s="210"/>
      <c r="DT111" s="126"/>
      <c r="DU111" s="126"/>
      <c r="DV111" s="126"/>
      <c r="DW111" s="126"/>
      <c r="DX111" s="126"/>
      <c r="DY111" s="126"/>
      <c r="DZ111" s="126"/>
      <c r="EA111" s="126"/>
      <c r="EB111" s="126"/>
      <c r="EC111" s="126"/>
      <c r="ED111" s="126"/>
      <c r="EE111" s="126"/>
      <c r="EF111" s="126"/>
      <c r="EG111" s="126"/>
      <c r="EH111" s="126"/>
      <c r="EI111" s="126"/>
      <c r="EJ111" s="126"/>
      <c r="EK111" s="126"/>
      <c r="EL111" s="126"/>
      <c r="EM111" s="126"/>
      <c r="EN111" s="126"/>
      <c r="EO111" s="126"/>
      <c r="EP111" s="126"/>
      <c r="EQ111" s="126"/>
      <c r="ER111" s="126"/>
      <c r="ES111" s="126"/>
      <c r="ET111" s="126"/>
      <c r="EU111" s="126"/>
      <c r="EV111" s="126"/>
      <c r="EW111" s="126"/>
      <c r="EX111" s="126"/>
      <c r="EY111" s="126"/>
      <c r="EZ111" s="126"/>
      <c r="FA111" s="126"/>
      <c r="FB111" s="126"/>
      <c r="FC111" s="126"/>
      <c r="FD111" s="126"/>
      <c r="FE111" s="126"/>
      <c r="FF111" s="126"/>
      <c r="FG111" s="126"/>
      <c r="FH111" s="126"/>
      <c r="FI111" s="126"/>
      <c r="FJ111" s="126"/>
      <c r="FK111" s="126"/>
      <c r="FL111" s="126"/>
      <c r="FM111" s="126"/>
      <c r="FN111" s="126"/>
      <c r="FO111" s="126"/>
      <c r="FP111" s="126"/>
      <c r="FQ111" s="126"/>
      <c r="FR111" s="126"/>
      <c r="FS111" s="126"/>
      <c r="FT111" s="126"/>
      <c r="FU111" s="126"/>
      <c r="FV111" s="126"/>
      <c r="FW111" s="126"/>
      <c r="FX111" s="126"/>
      <c r="FY111" s="126"/>
      <c r="FZ111" s="126"/>
      <c r="GA111" s="123"/>
      <c r="GB111" s="126"/>
      <c r="GC111" s="126"/>
      <c r="GD111" s="126"/>
      <c r="GQ111" s="123"/>
      <c r="GR111" s="123"/>
      <c r="GS111" s="123"/>
      <c r="GT111" s="123"/>
      <c r="GU111" s="123"/>
      <c r="GV111" s="123"/>
      <c r="GW111" s="123"/>
      <c r="GX111" s="123"/>
      <c r="GY111" s="123"/>
      <c r="GZ111" s="123"/>
      <c r="HA111" s="123"/>
      <c r="HB111" s="123"/>
      <c r="HC111" s="123"/>
      <c r="HD111" s="123"/>
      <c r="HE111" s="123"/>
      <c r="HF111" s="123"/>
      <c r="HG111" s="123"/>
      <c r="HH111" s="123"/>
      <c r="HI111" s="123"/>
      <c r="HJ111" s="123"/>
      <c r="HK111" s="123"/>
    </row>
    <row r="112" s="126" customFormat="1" spans="1:219">
      <c r="A112" s="142"/>
      <c r="B112" s="123"/>
      <c r="C112" s="126"/>
      <c r="D112" s="126"/>
      <c r="E112" s="126"/>
      <c r="F112" s="126"/>
      <c r="G112" s="126"/>
      <c r="H112" s="126"/>
      <c r="I112" s="126"/>
      <c r="J112" s="126"/>
      <c r="K112" s="126"/>
      <c r="L112" s="123"/>
      <c r="M112" s="126"/>
      <c r="N112" s="126"/>
      <c r="O112" s="126"/>
      <c r="P112" s="126"/>
      <c r="Q112" s="126"/>
      <c r="R112" s="123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3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  <c r="CJ112" s="126"/>
      <c r="CK112" s="126"/>
      <c r="CL112" s="126"/>
      <c r="CM112" s="126"/>
      <c r="CN112" s="126"/>
      <c r="CO112" s="126"/>
      <c r="CP112" s="126"/>
      <c r="CQ112" s="126"/>
      <c r="CR112" s="126"/>
      <c r="CS112" s="126"/>
      <c r="CT112" s="126"/>
      <c r="CU112" s="126"/>
      <c r="CV112" s="126"/>
      <c r="CW112" s="126"/>
      <c r="CX112" s="126"/>
      <c r="CY112" s="126"/>
      <c r="CZ112" s="126"/>
      <c r="DA112" s="126"/>
      <c r="DB112" s="126"/>
      <c r="DC112" s="126"/>
      <c r="DD112" s="126"/>
      <c r="DE112" s="126"/>
      <c r="DF112" s="126"/>
      <c r="DG112" s="126"/>
      <c r="DH112" s="126"/>
      <c r="DI112" s="126"/>
      <c r="DJ112" s="126"/>
      <c r="DK112" s="126"/>
      <c r="DL112" s="126"/>
      <c r="DM112" s="126"/>
      <c r="DN112" s="126"/>
      <c r="DO112" s="126"/>
      <c r="DP112" s="126"/>
      <c r="DQ112" s="126"/>
      <c r="DR112" s="126"/>
      <c r="DS112" s="210"/>
      <c r="DT112" s="126"/>
      <c r="DU112" s="126"/>
      <c r="DV112" s="126"/>
      <c r="DW112" s="126"/>
      <c r="DX112" s="126"/>
      <c r="DY112" s="126"/>
      <c r="DZ112" s="126"/>
      <c r="EA112" s="126"/>
      <c r="EB112" s="126"/>
      <c r="EC112" s="126"/>
      <c r="ED112" s="126"/>
      <c r="EE112" s="126"/>
      <c r="EF112" s="126"/>
      <c r="EG112" s="126"/>
      <c r="EH112" s="126"/>
      <c r="EI112" s="126"/>
      <c r="EJ112" s="126"/>
      <c r="EK112" s="126"/>
      <c r="EL112" s="126"/>
      <c r="EM112" s="126"/>
      <c r="EN112" s="126"/>
      <c r="EO112" s="126"/>
      <c r="EP112" s="126"/>
      <c r="EQ112" s="126"/>
      <c r="ER112" s="126"/>
      <c r="ES112" s="126"/>
      <c r="ET112" s="126"/>
      <c r="EU112" s="126"/>
      <c r="EV112" s="126"/>
      <c r="EW112" s="126"/>
      <c r="EX112" s="126"/>
      <c r="EY112" s="126"/>
      <c r="EZ112" s="126"/>
      <c r="FA112" s="126"/>
      <c r="FB112" s="126"/>
      <c r="FC112" s="126"/>
      <c r="FD112" s="126"/>
      <c r="FE112" s="126"/>
      <c r="FF112" s="126"/>
      <c r="FG112" s="126"/>
      <c r="FH112" s="126"/>
      <c r="FI112" s="126"/>
      <c r="FJ112" s="126"/>
      <c r="FK112" s="126"/>
      <c r="FL112" s="126"/>
      <c r="FM112" s="126"/>
      <c r="FN112" s="126"/>
      <c r="FO112" s="126"/>
      <c r="FP112" s="126"/>
      <c r="FQ112" s="126"/>
      <c r="FR112" s="126"/>
      <c r="FS112" s="126"/>
      <c r="FT112" s="126"/>
      <c r="FU112" s="126"/>
      <c r="FV112" s="126"/>
      <c r="FW112" s="126"/>
      <c r="FX112" s="126"/>
      <c r="FY112" s="126"/>
      <c r="FZ112" s="126"/>
      <c r="GA112" s="123"/>
      <c r="GB112" s="126"/>
      <c r="GC112" s="126"/>
      <c r="GD112" s="126"/>
      <c r="GQ112" s="123"/>
      <c r="GV112" s="123"/>
      <c r="GW112" s="123"/>
      <c r="GX112" s="123"/>
      <c r="GY112" s="123"/>
      <c r="GZ112" s="123"/>
      <c r="HA112" s="123"/>
      <c r="HB112" s="123"/>
      <c r="HC112" s="123"/>
      <c r="HD112" s="123"/>
      <c r="HE112" s="123"/>
      <c r="HF112" s="123"/>
      <c r="HG112" s="123"/>
      <c r="HH112" s="123"/>
      <c r="HI112" s="123"/>
      <c r="HJ112" s="123"/>
      <c r="HK112" s="123"/>
    </row>
    <row r="113" s="126" customFormat="1" spans="1:219">
      <c r="B113" s="123"/>
      <c r="C113" s="126"/>
      <c r="D113" s="126"/>
      <c r="E113" s="126"/>
      <c r="F113" s="126"/>
      <c r="G113" s="126"/>
      <c r="H113" s="126"/>
      <c r="I113" s="126"/>
      <c r="J113" s="126"/>
      <c r="K113" s="126"/>
      <c r="L113" s="123"/>
      <c r="M113" s="126"/>
      <c r="N113" s="126"/>
      <c r="O113" s="126"/>
      <c r="P113" s="126"/>
      <c r="Q113" s="126"/>
      <c r="R113" s="123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3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  <c r="CJ113" s="126"/>
      <c r="CK113" s="126"/>
      <c r="CL113" s="126"/>
      <c r="CM113" s="126"/>
      <c r="CN113" s="126"/>
      <c r="CO113" s="126"/>
      <c r="CP113" s="126"/>
      <c r="CQ113" s="126"/>
      <c r="CR113" s="126"/>
      <c r="CS113" s="126"/>
      <c r="CT113" s="126"/>
      <c r="CU113" s="126"/>
      <c r="CV113" s="126"/>
      <c r="CW113" s="126"/>
      <c r="CX113" s="126"/>
      <c r="CY113" s="126"/>
      <c r="CZ113" s="126"/>
      <c r="DA113" s="126"/>
      <c r="DB113" s="126"/>
      <c r="DC113" s="126"/>
      <c r="DD113" s="126"/>
      <c r="DE113" s="126"/>
      <c r="DF113" s="126"/>
      <c r="DG113" s="126"/>
      <c r="DH113" s="126"/>
      <c r="DI113" s="126"/>
      <c r="DJ113" s="126"/>
      <c r="DK113" s="126"/>
      <c r="DL113" s="126"/>
      <c r="DM113" s="126"/>
      <c r="DN113" s="126"/>
      <c r="DO113" s="126"/>
      <c r="DP113" s="126"/>
      <c r="DQ113" s="126"/>
      <c r="DR113" s="126"/>
      <c r="DS113" s="210"/>
      <c r="DT113" s="126"/>
      <c r="DU113" s="126"/>
      <c r="DV113" s="126"/>
      <c r="DW113" s="126"/>
      <c r="DX113" s="126"/>
      <c r="DY113" s="126"/>
      <c r="DZ113" s="126"/>
      <c r="EA113" s="126"/>
      <c r="EB113" s="126"/>
      <c r="EC113" s="126"/>
      <c r="ED113" s="126"/>
      <c r="EE113" s="126"/>
      <c r="EF113" s="126"/>
      <c r="EG113" s="126"/>
      <c r="EH113" s="126"/>
      <c r="EI113" s="126"/>
      <c r="EJ113" s="126"/>
      <c r="EK113" s="126"/>
      <c r="EL113" s="126"/>
      <c r="EM113" s="126"/>
      <c r="EN113" s="126"/>
      <c r="EO113" s="126"/>
      <c r="EP113" s="126"/>
      <c r="EQ113" s="126"/>
      <c r="ER113" s="126"/>
      <c r="ES113" s="126"/>
      <c r="ET113" s="126"/>
      <c r="EU113" s="126"/>
      <c r="EV113" s="126"/>
      <c r="EW113" s="126"/>
      <c r="EX113" s="126"/>
      <c r="EY113" s="126"/>
      <c r="EZ113" s="126"/>
      <c r="FA113" s="126"/>
      <c r="FB113" s="126"/>
      <c r="FC113" s="126"/>
      <c r="FD113" s="126"/>
      <c r="FE113" s="126"/>
      <c r="FF113" s="126"/>
      <c r="FG113" s="126"/>
      <c r="FH113" s="126"/>
      <c r="FI113" s="126"/>
      <c r="FJ113" s="126"/>
      <c r="FK113" s="126"/>
      <c r="FL113" s="126"/>
      <c r="FM113" s="126"/>
      <c r="FN113" s="126"/>
      <c r="FO113" s="126"/>
      <c r="FP113" s="126"/>
      <c r="FQ113" s="126"/>
      <c r="FR113" s="126"/>
      <c r="FS113" s="126"/>
      <c r="FT113" s="126"/>
      <c r="FU113" s="126"/>
      <c r="FV113" s="126"/>
      <c r="FW113" s="126"/>
      <c r="FX113" s="126"/>
      <c r="FY113" s="126"/>
      <c r="FZ113" s="126"/>
      <c r="GA113" s="123"/>
      <c r="GB113" s="126"/>
      <c r="GC113" s="126"/>
      <c r="GD113" s="126"/>
      <c r="GV113" s="123"/>
      <c r="GW113" s="123"/>
      <c r="GX113" s="123"/>
      <c r="GY113" s="123"/>
      <c r="GZ113" s="123"/>
      <c r="HA113" s="123"/>
    </row>
    <row r="114" s="126" customFormat="1" spans="1:219">
      <c r="B114" s="123"/>
      <c r="C114" s="126"/>
      <c r="D114" s="126"/>
      <c r="E114" s="126"/>
      <c r="F114" s="126"/>
      <c r="G114" s="126"/>
      <c r="H114" s="126"/>
      <c r="I114" s="126"/>
      <c r="J114" s="126"/>
      <c r="K114" s="126"/>
      <c r="L114" s="123"/>
      <c r="M114" s="126"/>
      <c r="N114" s="126"/>
      <c r="O114" s="126"/>
      <c r="P114" s="126"/>
      <c r="Q114" s="126"/>
      <c r="R114" s="123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3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  <c r="CJ114" s="126"/>
      <c r="CK114" s="126"/>
      <c r="CL114" s="126"/>
      <c r="CM114" s="126"/>
      <c r="CN114" s="126"/>
      <c r="CO114" s="126"/>
      <c r="CP114" s="126"/>
      <c r="CQ114" s="126"/>
      <c r="CR114" s="126"/>
      <c r="CS114" s="126"/>
      <c r="CT114" s="126"/>
      <c r="CU114" s="126"/>
      <c r="CV114" s="126"/>
      <c r="CW114" s="126"/>
      <c r="CX114" s="126"/>
      <c r="CY114" s="126"/>
      <c r="CZ114" s="126"/>
      <c r="DA114" s="126"/>
      <c r="DB114" s="126"/>
      <c r="DC114" s="126"/>
      <c r="DD114" s="126"/>
      <c r="DE114" s="126"/>
      <c r="DF114" s="126"/>
      <c r="DG114" s="126"/>
      <c r="DH114" s="126"/>
      <c r="DI114" s="126"/>
      <c r="DJ114" s="126"/>
      <c r="DK114" s="126"/>
      <c r="DL114" s="126"/>
      <c r="DM114" s="126"/>
      <c r="DN114" s="126"/>
      <c r="DO114" s="126"/>
      <c r="DP114" s="126"/>
      <c r="DQ114" s="126"/>
      <c r="DR114" s="126"/>
      <c r="DS114" s="210"/>
      <c r="DT114" s="126"/>
      <c r="DU114" s="126"/>
      <c r="DV114" s="126"/>
      <c r="DW114" s="126"/>
      <c r="DX114" s="126"/>
      <c r="DY114" s="126"/>
      <c r="DZ114" s="126"/>
      <c r="EA114" s="126"/>
      <c r="EB114" s="126"/>
      <c r="EC114" s="126"/>
      <c r="ED114" s="126"/>
      <c r="EE114" s="126"/>
      <c r="EF114" s="126"/>
      <c r="EG114" s="126"/>
      <c r="EH114" s="126"/>
      <c r="EI114" s="126"/>
      <c r="EJ114" s="126"/>
      <c r="EK114" s="126"/>
      <c r="EL114" s="126"/>
      <c r="EM114" s="126"/>
      <c r="EN114" s="126"/>
      <c r="EO114" s="126"/>
      <c r="EP114" s="126"/>
      <c r="EQ114" s="126"/>
      <c r="ER114" s="126"/>
      <c r="ES114" s="126"/>
      <c r="ET114" s="126"/>
      <c r="EU114" s="126"/>
      <c r="EV114" s="126"/>
      <c r="EW114" s="126"/>
      <c r="EX114" s="126"/>
      <c r="EY114" s="126"/>
      <c r="EZ114" s="126"/>
      <c r="FA114" s="126"/>
      <c r="FB114" s="126"/>
      <c r="FC114" s="126"/>
      <c r="FD114" s="126"/>
      <c r="FE114" s="126"/>
      <c r="FF114" s="126"/>
      <c r="FG114" s="126"/>
      <c r="FH114" s="126"/>
      <c r="FI114" s="126"/>
      <c r="FJ114" s="126"/>
      <c r="FK114" s="126"/>
      <c r="FL114" s="126"/>
      <c r="FM114" s="126"/>
      <c r="FN114" s="126"/>
      <c r="FO114" s="126"/>
      <c r="FP114" s="126"/>
      <c r="FQ114" s="126"/>
      <c r="FR114" s="126"/>
      <c r="FS114" s="126"/>
      <c r="FT114" s="126"/>
      <c r="FU114" s="126"/>
      <c r="FV114" s="126"/>
      <c r="FW114" s="126"/>
      <c r="FX114" s="126"/>
      <c r="FY114" s="126"/>
      <c r="FZ114" s="126"/>
      <c r="GA114" s="123"/>
      <c r="GB114" s="126"/>
      <c r="GC114" s="126"/>
      <c r="GD114" s="126"/>
      <c r="GV114" s="123"/>
      <c r="GW114" s="123"/>
      <c r="GX114" s="123"/>
      <c r="GY114" s="123"/>
      <c r="GZ114" s="123"/>
      <c r="HA114" s="123"/>
      <c r="HB114" s="123"/>
      <c r="HC114" s="123"/>
      <c r="HD114" s="123"/>
      <c r="HE114" s="123"/>
      <c r="HF114" s="123"/>
      <c r="HG114" s="123"/>
      <c r="HH114" s="123"/>
      <c r="HI114" s="123"/>
      <c r="HJ114" s="123"/>
      <c r="HK114" s="123"/>
    </row>
    <row r="115" s="126" customFormat="1" spans="1:219">
      <c r="A115" s="142"/>
      <c r="B115" s="123"/>
      <c r="C115" s="126"/>
      <c r="D115" s="126"/>
      <c r="E115" s="126"/>
      <c r="F115" s="126"/>
      <c r="G115" s="126"/>
      <c r="H115" s="126"/>
      <c r="I115" s="126"/>
      <c r="J115" s="126"/>
      <c r="K115" s="126"/>
      <c r="L115" s="123"/>
      <c r="M115" s="126"/>
      <c r="N115" s="126"/>
      <c r="O115" s="126"/>
      <c r="P115" s="126"/>
      <c r="Q115" s="126"/>
      <c r="R115" s="123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  <c r="CJ115" s="126"/>
      <c r="CK115" s="126"/>
      <c r="CL115" s="126"/>
      <c r="CM115" s="126"/>
      <c r="CN115" s="126"/>
      <c r="CO115" s="126"/>
      <c r="CP115" s="126"/>
      <c r="CQ115" s="126"/>
      <c r="CR115" s="126"/>
      <c r="CS115" s="126"/>
      <c r="CT115" s="126"/>
      <c r="CU115" s="126"/>
      <c r="CV115" s="126"/>
      <c r="CW115" s="126"/>
      <c r="CX115" s="126"/>
      <c r="CY115" s="126"/>
      <c r="CZ115" s="126"/>
      <c r="DA115" s="126"/>
      <c r="DB115" s="126"/>
      <c r="DC115" s="126"/>
      <c r="DD115" s="126"/>
      <c r="DE115" s="126"/>
      <c r="DF115" s="126"/>
      <c r="DG115" s="126"/>
      <c r="DH115" s="126"/>
      <c r="DI115" s="126"/>
      <c r="DJ115" s="126"/>
      <c r="DK115" s="126"/>
      <c r="DL115" s="126"/>
      <c r="DM115" s="126"/>
      <c r="DN115" s="126"/>
      <c r="DO115" s="126"/>
      <c r="DP115" s="126"/>
      <c r="DQ115" s="126"/>
      <c r="DR115" s="126"/>
      <c r="DS115" s="210"/>
      <c r="DT115" s="126"/>
      <c r="DU115" s="126"/>
      <c r="DV115" s="126"/>
      <c r="DW115" s="126"/>
      <c r="DX115" s="126"/>
      <c r="DY115" s="126"/>
      <c r="DZ115" s="126"/>
      <c r="EA115" s="126"/>
      <c r="EB115" s="126"/>
      <c r="EC115" s="126"/>
      <c r="ED115" s="126"/>
      <c r="EE115" s="126"/>
      <c r="EF115" s="126"/>
      <c r="EG115" s="126"/>
      <c r="EH115" s="126"/>
      <c r="EI115" s="126"/>
      <c r="EJ115" s="126"/>
      <c r="EK115" s="126"/>
      <c r="EL115" s="126"/>
      <c r="EM115" s="126"/>
      <c r="EN115" s="126"/>
      <c r="EO115" s="126"/>
      <c r="EP115" s="126"/>
      <c r="EQ115" s="126"/>
      <c r="ER115" s="126"/>
      <c r="ES115" s="126"/>
      <c r="ET115" s="126"/>
      <c r="EU115" s="126"/>
      <c r="EV115" s="126"/>
      <c r="EW115" s="126"/>
      <c r="EX115" s="126"/>
      <c r="EY115" s="126"/>
      <c r="EZ115" s="126"/>
      <c r="FA115" s="126"/>
      <c r="FB115" s="126"/>
      <c r="FC115" s="126"/>
      <c r="FD115" s="126"/>
      <c r="FE115" s="126"/>
      <c r="FF115" s="126"/>
      <c r="FG115" s="126"/>
      <c r="FH115" s="126"/>
      <c r="FI115" s="126"/>
      <c r="FJ115" s="126"/>
      <c r="FK115" s="126"/>
      <c r="FL115" s="126"/>
      <c r="FM115" s="126"/>
      <c r="FN115" s="126"/>
      <c r="FO115" s="126"/>
      <c r="FP115" s="126"/>
      <c r="FQ115" s="126"/>
      <c r="FR115" s="126"/>
      <c r="FS115" s="126"/>
      <c r="FT115" s="126"/>
      <c r="FU115" s="126"/>
      <c r="FV115" s="126"/>
      <c r="FW115" s="126"/>
      <c r="FX115" s="126"/>
      <c r="FY115" s="126"/>
      <c r="FZ115" s="126"/>
      <c r="GA115" s="123"/>
      <c r="GB115" s="126"/>
      <c r="GC115" s="126"/>
      <c r="GD115" s="126"/>
      <c r="GV115" s="123"/>
      <c r="GW115" s="123"/>
      <c r="GX115" s="123"/>
      <c r="GY115" s="123"/>
      <c r="GZ115" s="123"/>
      <c r="HA115" s="123"/>
      <c r="HB115" s="123"/>
      <c r="HC115" s="123"/>
      <c r="HD115" s="123"/>
      <c r="HE115" s="123"/>
      <c r="HF115" s="123"/>
      <c r="HG115" s="123"/>
      <c r="HH115" s="123"/>
      <c r="HI115" s="123"/>
      <c r="HJ115" s="123"/>
      <c r="HK115" s="123"/>
    </row>
    <row r="116" s="126" customFormat="1" spans="1:219">
      <c r="B116" s="123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3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3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  <c r="CJ116" s="126"/>
      <c r="CK116" s="126"/>
      <c r="CL116" s="126"/>
      <c r="CM116" s="126"/>
      <c r="CN116" s="126"/>
      <c r="CO116" s="126"/>
      <c r="CP116" s="126"/>
      <c r="CQ116" s="126"/>
      <c r="CR116" s="126"/>
      <c r="CS116" s="126"/>
      <c r="CT116" s="126"/>
      <c r="CU116" s="126"/>
      <c r="CV116" s="126"/>
      <c r="CW116" s="126"/>
      <c r="CX116" s="126"/>
      <c r="CY116" s="126"/>
      <c r="CZ116" s="126"/>
      <c r="DA116" s="126"/>
      <c r="DB116" s="126"/>
      <c r="DC116" s="126"/>
      <c r="DD116" s="126"/>
      <c r="DE116" s="126"/>
      <c r="DF116" s="126"/>
      <c r="DG116" s="126"/>
      <c r="DH116" s="126"/>
      <c r="DI116" s="126"/>
      <c r="DJ116" s="126"/>
      <c r="DK116" s="126"/>
      <c r="DL116" s="126"/>
      <c r="DM116" s="126"/>
      <c r="DN116" s="126"/>
      <c r="DO116" s="126"/>
      <c r="DP116" s="126"/>
      <c r="DQ116" s="126"/>
      <c r="DR116" s="126"/>
      <c r="DS116" s="210"/>
      <c r="DT116" s="126"/>
      <c r="DU116" s="126"/>
      <c r="DV116" s="126"/>
      <c r="DW116" s="126"/>
      <c r="DX116" s="126"/>
      <c r="DY116" s="126"/>
      <c r="DZ116" s="126"/>
      <c r="EA116" s="126"/>
      <c r="EB116" s="126"/>
      <c r="EC116" s="126"/>
      <c r="ED116" s="126"/>
      <c r="EE116" s="126"/>
      <c r="EF116" s="126"/>
      <c r="EG116" s="126"/>
      <c r="EH116" s="126"/>
      <c r="EI116" s="126"/>
      <c r="EJ116" s="126"/>
      <c r="EK116" s="126"/>
      <c r="EL116" s="126"/>
      <c r="EM116" s="126"/>
      <c r="EN116" s="126"/>
      <c r="EO116" s="126"/>
      <c r="EP116" s="126"/>
      <c r="EQ116" s="126"/>
      <c r="ER116" s="126"/>
      <c r="ES116" s="126"/>
      <c r="ET116" s="126"/>
      <c r="EU116" s="126"/>
      <c r="EV116" s="126"/>
      <c r="EW116" s="126"/>
      <c r="EX116" s="126"/>
      <c r="EY116" s="126"/>
      <c r="EZ116" s="126"/>
      <c r="FA116" s="126"/>
      <c r="FB116" s="126"/>
      <c r="FC116" s="126"/>
      <c r="FD116" s="126"/>
      <c r="FE116" s="126"/>
      <c r="FF116" s="126"/>
      <c r="FG116" s="126"/>
      <c r="FH116" s="126"/>
      <c r="FI116" s="126"/>
      <c r="FJ116" s="126"/>
      <c r="FK116" s="126"/>
      <c r="FL116" s="126"/>
      <c r="FM116" s="126"/>
      <c r="FN116" s="126"/>
      <c r="FO116" s="126"/>
      <c r="FP116" s="126"/>
      <c r="FQ116" s="126"/>
      <c r="FR116" s="126"/>
      <c r="FS116" s="126"/>
      <c r="FT116" s="126"/>
      <c r="FU116" s="126"/>
      <c r="FV116" s="126"/>
      <c r="FW116" s="126"/>
      <c r="FX116" s="126"/>
      <c r="FY116" s="126"/>
      <c r="FZ116" s="126"/>
      <c r="GA116" s="123"/>
      <c r="GB116" s="126"/>
      <c r="GC116" s="126"/>
      <c r="GD116" s="126"/>
      <c r="GV116" s="123"/>
    </row>
    <row r="117" s="126" customFormat="1" spans="1:219">
      <c r="B117" s="123"/>
      <c r="C117" s="126"/>
      <c r="D117" s="126"/>
      <c r="E117" s="126"/>
      <c r="F117" s="126"/>
      <c r="G117" s="126"/>
      <c r="H117" s="126"/>
      <c r="I117" s="126"/>
      <c r="J117" s="126"/>
      <c r="K117" s="126"/>
      <c r="L117" s="123"/>
      <c r="M117" s="126"/>
      <c r="N117" s="126"/>
      <c r="O117" s="126"/>
      <c r="P117" s="126"/>
      <c r="Q117" s="126"/>
      <c r="R117" s="123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  <c r="CJ117" s="126"/>
      <c r="CK117" s="126"/>
      <c r="CL117" s="126"/>
      <c r="CM117" s="126"/>
      <c r="CN117" s="126"/>
      <c r="CO117" s="126"/>
      <c r="CP117" s="126"/>
      <c r="CQ117" s="126"/>
      <c r="CR117" s="126"/>
      <c r="CS117" s="126"/>
      <c r="CT117" s="126"/>
      <c r="CU117" s="126"/>
      <c r="CV117" s="126"/>
      <c r="CW117" s="126"/>
      <c r="CX117" s="126"/>
      <c r="CY117" s="126"/>
      <c r="CZ117" s="126"/>
      <c r="DA117" s="126"/>
      <c r="DB117" s="126"/>
      <c r="DC117" s="126"/>
      <c r="DD117" s="126"/>
      <c r="DE117" s="126"/>
      <c r="DF117" s="126"/>
      <c r="DG117" s="126"/>
      <c r="DH117" s="126"/>
      <c r="DI117" s="126"/>
      <c r="DJ117" s="126"/>
      <c r="DK117" s="126"/>
      <c r="DL117" s="126"/>
      <c r="DM117" s="126"/>
      <c r="DN117" s="126"/>
      <c r="DO117" s="126"/>
      <c r="DP117" s="126"/>
      <c r="DQ117" s="126"/>
      <c r="DR117" s="126"/>
      <c r="DS117" s="210"/>
      <c r="DT117" s="126"/>
      <c r="DU117" s="126"/>
      <c r="DV117" s="126"/>
      <c r="DW117" s="126"/>
      <c r="DX117" s="126"/>
      <c r="DY117" s="126"/>
      <c r="DZ117" s="126"/>
      <c r="EA117" s="126"/>
      <c r="EB117" s="126"/>
      <c r="EC117" s="126"/>
      <c r="ED117" s="126"/>
      <c r="EE117" s="126"/>
      <c r="EF117" s="126"/>
      <c r="EG117" s="126"/>
      <c r="EH117" s="126"/>
      <c r="EI117" s="126"/>
      <c r="EJ117" s="126"/>
      <c r="EK117" s="126"/>
      <c r="EL117" s="126"/>
      <c r="EM117" s="126"/>
      <c r="EN117" s="126"/>
      <c r="EO117" s="126"/>
      <c r="EP117" s="126"/>
      <c r="EQ117" s="126"/>
      <c r="ER117" s="126"/>
      <c r="ES117" s="126"/>
      <c r="ET117" s="126"/>
      <c r="EU117" s="126"/>
      <c r="EV117" s="126"/>
      <c r="EW117" s="126"/>
      <c r="EX117" s="126"/>
      <c r="EY117" s="126"/>
      <c r="EZ117" s="126"/>
      <c r="FA117" s="126"/>
      <c r="FB117" s="126"/>
      <c r="FC117" s="126"/>
      <c r="FD117" s="126"/>
      <c r="FE117" s="126"/>
      <c r="FF117" s="126"/>
      <c r="FG117" s="126"/>
      <c r="FH117" s="126"/>
      <c r="FI117" s="126"/>
      <c r="FJ117" s="126"/>
      <c r="FK117" s="126"/>
      <c r="FL117" s="126"/>
      <c r="FM117" s="126"/>
      <c r="FN117" s="126"/>
      <c r="FO117" s="126"/>
      <c r="FP117" s="126"/>
      <c r="FQ117" s="126"/>
      <c r="FR117" s="126"/>
      <c r="FS117" s="126"/>
      <c r="FT117" s="126"/>
      <c r="FU117" s="126"/>
      <c r="FV117" s="126"/>
      <c r="FW117" s="126"/>
      <c r="FX117" s="126"/>
      <c r="FY117" s="126"/>
      <c r="FZ117" s="126"/>
      <c r="GA117" s="123"/>
      <c r="GB117" s="126"/>
      <c r="GC117" s="126"/>
      <c r="GD117" s="126"/>
      <c r="GV117" s="123"/>
      <c r="GW117" s="123"/>
      <c r="GX117" s="123"/>
      <c r="GY117" s="123"/>
      <c r="GZ117" s="123"/>
      <c r="HA117" s="123"/>
      <c r="HB117" s="123"/>
      <c r="HC117" s="123"/>
      <c r="HD117" s="123"/>
      <c r="HE117" s="123"/>
      <c r="HF117" s="123"/>
      <c r="HG117" s="123"/>
      <c r="HH117" s="123"/>
      <c r="HI117" s="123"/>
      <c r="HJ117" s="123"/>
      <c r="HK117" s="123"/>
    </row>
    <row r="118" s="126" customFormat="1" spans="1:219">
      <c r="B118" s="123"/>
      <c r="C118" s="126"/>
      <c r="D118" s="126"/>
      <c r="E118" s="126"/>
      <c r="F118" s="126"/>
      <c r="G118" s="126"/>
      <c r="H118" s="126"/>
      <c r="I118" s="126"/>
      <c r="J118" s="126"/>
      <c r="K118" s="126"/>
      <c r="L118" s="123"/>
      <c r="M118" s="126"/>
      <c r="N118" s="126"/>
      <c r="O118" s="126"/>
      <c r="P118" s="126"/>
      <c r="Q118" s="126"/>
      <c r="R118" s="123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  <c r="CJ118" s="126"/>
      <c r="CK118" s="126"/>
      <c r="CL118" s="126"/>
      <c r="CM118" s="126"/>
      <c r="CN118" s="126"/>
      <c r="CO118" s="126"/>
      <c r="CP118" s="126"/>
      <c r="CQ118" s="126"/>
      <c r="CR118" s="126"/>
      <c r="CS118" s="126"/>
      <c r="CT118" s="126"/>
      <c r="CU118" s="126"/>
      <c r="CV118" s="126"/>
      <c r="CW118" s="126"/>
      <c r="CX118" s="126"/>
      <c r="CY118" s="126"/>
      <c r="CZ118" s="126"/>
      <c r="DA118" s="126"/>
      <c r="DB118" s="126"/>
      <c r="DC118" s="126"/>
      <c r="DD118" s="126"/>
      <c r="DE118" s="126"/>
      <c r="DF118" s="126"/>
      <c r="DG118" s="126"/>
      <c r="DH118" s="126"/>
      <c r="DI118" s="126"/>
      <c r="DJ118" s="126"/>
      <c r="DK118" s="126"/>
      <c r="DL118" s="126"/>
      <c r="DM118" s="126"/>
      <c r="DN118" s="126"/>
      <c r="DO118" s="126"/>
      <c r="DP118" s="126"/>
      <c r="DQ118" s="126"/>
      <c r="DR118" s="126"/>
      <c r="DS118" s="210"/>
      <c r="DT118" s="126"/>
      <c r="DU118" s="126"/>
      <c r="DV118" s="126"/>
      <c r="DW118" s="126"/>
      <c r="DX118" s="126"/>
      <c r="DY118" s="126"/>
      <c r="DZ118" s="126"/>
      <c r="EA118" s="126"/>
      <c r="EB118" s="126"/>
      <c r="EC118" s="126"/>
      <c r="ED118" s="126"/>
      <c r="EE118" s="126"/>
      <c r="EF118" s="126"/>
      <c r="EG118" s="126"/>
      <c r="EH118" s="126"/>
      <c r="EI118" s="126"/>
      <c r="EJ118" s="126"/>
      <c r="EK118" s="126"/>
      <c r="EL118" s="126"/>
      <c r="EM118" s="126"/>
      <c r="EN118" s="126"/>
      <c r="EO118" s="126"/>
      <c r="EP118" s="126"/>
      <c r="EQ118" s="126"/>
      <c r="ER118" s="126"/>
      <c r="ES118" s="126"/>
      <c r="ET118" s="126"/>
      <c r="EU118" s="126"/>
      <c r="EV118" s="126"/>
      <c r="EW118" s="126"/>
      <c r="EX118" s="126"/>
      <c r="EY118" s="126"/>
      <c r="EZ118" s="126"/>
      <c r="FA118" s="126"/>
      <c r="FB118" s="126"/>
      <c r="FC118" s="126"/>
      <c r="FD118" s="126"/>
      <c r="FE118" s="126"/>
      <c r="FF118" s="126"/>
      <c r="FG118" s="126"/>
      <c r="FH118" s="126"/>
      <c r="FI118" s="126"/>
      <c r="FJ118" s="126"/>
      <c r="FK118" s="126"/>
      <c r="FL118" s="126"/>
      <c r="FM118" s="126"/>
      <c r="FN118" s="126"/>
      <c r="FO118" s="126"/>
      <c r="FP118" s="126"/>
      <c r="FQ118" s="126"/>
      <c r="FR118" s="126"/>
      <c r="FS118" s="126"/>
      <c r="FT118" s="126"/>
      <c r="FU118" s="126"/>
      <c r="FV118" s="126"/>
      <c r="FW118" s="126"/>
      <c r="FX118" s="126"/>
      <c r="FY118" s="126"/>
      <c r="FZ118" s="126"/>
      <c r="GA118" s="123"/>
      <c r="GB118" s="126"/>
      <c r="GC118" s="126"/>
      <c r="GD118" s="126"/>
      <c r="GV118" s="123"/>
      <c r="GW118" s="123"/>
      <c r="GX118" s="123"/>
      <c r="GY118" s="123"/>
      <c r="GZ118" s="123"/>
      <c r="HA118" s="123"/>
      <c r="HB118" s="123"/>
      <c r="HC118" s="123"/>
      <c r="HD118" s="123"/>
      <c r="HE118" s="123"/>
      <c r="HF118" s="123"/>
      <c r="HG118" s="123"/>
      <c r="HH118" s="123"/>
      <c r="HI118" s="123"/>
      <c r="HJ118" s="123"/>
      <c r="HK118" s="123"/>
    </row>
    <row r="119" s="126" customFormat="1" spans="1:219">
      <c r="B119" s="123"/>
      <c r="C119" s="126"/>
      <c r="D119" s="126"/>
      <c r="E119" s="126"/>
      <c r="F119" s="126"/>
      <c r="G119" s="126"/>
      <c r="H119" s="126"/>
      <c r="I119" s="126"/>
      <c r="J119" s="126"/>
      <c r="K119" s="126"/>
      <c r="L119" s="123"/>
      <c r="M119" s="126"/>
      <c r="N119" s="126"/>
      <c r="O119" s="126"/>
      <c r="P119" s="126"/>
      <c r="Q119" s="126"/>
      <c r="R119" s="123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  <c r="CJ119" s="126"/>
      <c r="CK119" s="126"/>
      <c r="CL119" s="126"/>
      <c r="CM119" s="126"/>
      <c r="CN119" s="126"/>
      <c r="CO119" s="126"/>
      <c r="CP119" s="126"/>
      <c r="CQ119" s="126"/>
      <c r="CR119" s="126"/>
      <c r="CS119" s="126"/>
      <c r="CT119" s="126"/>
      <c r="CU119" s="126"/>
      <c r="CV119" s="126"/>
      <c r="CW119" s="126"/>
      <c r="CX119" s="126"/>
      <c r="CY119" s="126"/>
      <c r="CZ119" s="126"/>
      <c r="DA119" s="126"/>
      <c r="DB119" s="126"/>
      <c r="DC119" s="126"/>
      <c r="DD119" s="126"/>
      <c r="DE119" s="126"/>
      <c r="DF119" s="126"/>
      <c r="DG119" s="126"/>
      <c r="DH119" s="126"/>
      <c r="DI119" s="126"/>
      <c r="DJ119" s="126"/>
      <c r="DK119" s="126"/>
      <c r="DL119" s="126"/>
      <c r="DM119" s="126"/>
      <c r="DN119" s="126"/>
      <c r="DO119" s="126"/>
      <c r="DP119" s="126"/>
      <c r="DQ119" s="126"/>
      <c r="DR119" s="126"/>
      <c r="DS119" s="210"/>
      <c r="DT119" s="126"/>
      <c r="DU119" s="126"/>
      <c r="DV119" s="126"/>
      <c r="DW119" s="126"/>
      <c r="DX119" s="126"/>
      <c r="DY119" s="126"/>
      <c r="DZ119" s="126"/>
      <c r="EA119" s="126"/>
      <c r="EB119" s="126"/>
      <c r="EC119" s="126"/>
      <c r="ED119" s="126"/>
      <c r="EE119" s="126"/>
      <c r="EF119" s="126"/>
      <c r="EG119" s="126"/>
      <c r="EH119" s="126"/>
      <c r="EI119" s="126"/>
      <c r="EJ119" s="126"/>
      <c r="EK119" s="126"/>
      <c r="EL119" s="126"/>
      <c r="EM119" s="126"/>
      <c r="EN119" s="126"/>
      <c r="EO119" s="126"/>
      <c r="EP119" s="126"/>
      <c r="EQ119" s="126"/>
      <c r="ER119" s="126"/>
      <c r="ES119" s="126"/>
      <c r="ET119" s="126"/>
      <c r="EU119" s="126"/>
      <c r="EV119" s="126"/>
      <c r="EW119" s="126"/>
      <c r="EX119" s="126"/>
      <c r="EY119" s="126"/>
      <c r="EZ119" s="126"/>
      <c r="FA119" s="126"/>
      <c r="FB119" s="126"/>
      <c r="FC119" s="126"/>
      <c r="FD119" s="126"/>
      <c r="FE119" s="126"/>
      <c r="FF119" s="126"/>
      <c r="FG119" s="126"/>
      <c r="FH119" s="126"/>
      <c r="FI119" s="126"/>
      <c r="FJ119" s="126"/>
      <c r="FK119" s="126"/>
      <c r="FL119" s="126"/>
      <c r="FM119" s="126"/>
      <c r="FN119" s="126"/>
      <c r="FO119" s="126"/>
      <c r="FP119" s="126"/>
      <c r="FQ119" s="126"/>
      <c r="FR119" s="126"/>
      <c r="FS119" s="126"/>
      <c r="FT119" s="126"/>
      <c r="FU119" s="126"/>
      <c r="FV119" s="126"/>
      <c r="FW119" s="126"/>
      <c r="FX119" s="126"/>
      <c r="FY119" s="126"/>
      <c r="FZ119" s="126"/>
      <c r="GA119" s="123"/>
      <c r="GB119" s="126"/>
      <c r="GC119" s="126"/>
      <c r="GD119" s="126"/>
      <c r="GV119" s="123"/>
      <c r="HK119" s="123"/>
    </row>
    <row r="120" s="126" customFormat="1" spans="1:219">
      <c r="B120" s="123"/>
      <c r="C120" s="126"/>
      <c r="D120" s="126"/>
      <c r="E120" s="126"/>
      <c r="F120" s="126"/>
      <c r="G120" s="126"/>
      <c r="H120" s="126"/>
      <c r="I120" s="126"/>
      <c r="J120" s="126"/>
      <c r="K120" s="126"/>
      <c r="L120" s="123"/>
      <c r="M120" s="126"/>
      <c r="N120" s="126"/>
      <c r="O120" s="126"/>
      <c r="P120" s="126"/>
      <c r="Q120" s="126"/>
      <c r="R120" s="123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3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  <c r="CJ120" s="126"/>
      <c r="CK120" s="126"/>
      <c r="CL120" s="126"/>
      <c r="CM120" s="126"/>
      <c r="CN120" s="126"/>
      <c r="CO120" s="126"/>
      <c r="CP120" s="126"/>
      <c r="CQ120" s="126"/>
      <c r="CR120" s="126"/>
      <c r="CS120" s="126"/>
      <c r="CT120" s="126"/>
      <c r="CU120" s="126"/>
      <c r="CV120" s="126"/>
      <c r="CW120" s="126"/>
      <c r="CX120" s="126"/>
      <c r="CY120" s="126"/>
      <c r="CZ120" s="126"/>
      <c r="DA120" s="126"/>
      <c r="DB120" s="126"/>
      <c r="DC120" s="126"/>
      <c r="DD120" s="126"/>
      <c r="DE120" s="126"/>
      <c r="DF120" s="126"/>
      <c r="DG120" s="126"/>
      <c r="DH120" s="126"/>
      <c r="DI120" s="126"/>
      <c r="DJ120" s="126"/>
      <c r="DK120" s="126"/>
      <c r="DL120" s="126"/>
      <c r="DM120" s="126"/>
      <c r="DN120" s="126"/>
      <c r="DO120" s="126"/>
      <c r="DP120" s="126"/>
      <c r="DQ120" s="126"/>
      <c r="DR120" s="126"/>
      <c r="DS120" s="210"/>
      <c r="DT120" s="126"/>
      <c r="DU120" s="126"/>
      <c r="DV120" s="126"/>
      <c r="DW120" s="126"/>
      <c r="DX120" s="126"/>
      <c r="DY120" s="126"/>
      <c r="DZ120" s="126"/>
      <c r="EA120" s="126"/>
      <c r="EB120" s="126"/>
      <c r="EC120" s="126"/>
      <c r="ED120" s="126"/>
      <c r="EE120" s="126"/>
      <c r="EF120" s="126"/>
      <c r="EG120" s="126"/>
      <c r="EH120" s="126"/>
      <c r="EI120" s="126"/>
      <c r="EJ120" s="126"/>
      <c r="EK120" s="126"/>
      <c r="EL120" s="126"/>
      <c r="EM120" s="126"/>
      <c r="EN120" s="126"/>
      <c r="EO120" s="126"/>
      <c r="EP120" s="126"/>
      <c r="EQ120" s="126"/>
      <c r="ER120" s="126"/>
      <c r="ES120" s="126"/>
      <c r="ET120" s="126"/>
      <c r="EU120" s="126"/>
      <c r="EV120" s="126"/>
      <c r="EW120" s="126"/>
      <c r="EX120" s="126"/>
      <c r="EY120" s="126"/>
      <c r="EZ120" s="126"/>
      <c r="FA120" s="126"/>
      <c r="FB120" s="126"/>
      <c r="FC120" s="126"/>
      <c r="FD120" s="126"/>
      <c r="FE120" s="126"/>
      <c r="FF120" s="126"/>
      <c r="FG120" s="126"/>
      <c r="FH120" s="126"/>
      <c r="FI120" s="126"/>
      <c r="FJ120" s="126"/>
      <c r="FK120" s="126"/>
      <c r="FL120" s="126"/>
      <c r="FM120" s="126"/>
      <c r="FN120" s="126"/>
      <c r="FO120" s="126"/>
      <c r="FP120" s="126"/>
      <c r="FQ120" s="126"/>
      <c r="FR120" s="126"/>
      <c r="FS120" s="126"/>
      <c r="FT120" s="126"/>
      <c r="FU120" s="126"/>
      <c r="FV120" s="126"/>
      <c r="FW120" s="126"/>
      <c r="FX120" s="126"/>
      <c r="FY120" s="126"/>
      <c r="FZ120" s="126"/>
      <c r="GA120" s="123"/>
      <c r="GB120" s="126"/>
      <c r="GC120" s="126"/>
      <c r="GD120" s="126"/>
      <c r="GV120" s="123"/>
      <c r="GW120" s="123"/>
      <c r="GX120" s="123"/>
      <c r="GY120" s="123"/>
      <c r="GZ120" s="123"/>
      <c r="HA120" s="123"/>
      <c r="HB120" s="123"/>
      <c r="HC120" s="123"/>
      <c r="HD120" s="123"/>
      <c r="HE120" s="123"/>
      <c r="HF120" s="123"/>
      <c r="HG120" s="123"/>
      <c r="HH120" s="123"/>
      <c r="HI120" s="123"/>
      <c r="HJ120" s="123"/>
      <c r="HK120" s="123"/>
    </row>
    <row r="121" s="126" customFormat="1" spans="1:219">
      <c r="B121" s="123"/>
      <c r="C121" s="126"/>
      <c r="D121" s="126"/>
      <c r="E121" s="126"/>
      <c r="F121" s="126"/>
      <c r="G121" s="126"/>
      <c r="H121" s="126"/>
      <c r="I121" s="126"/>
      <c r="J121" s="126"/>
      <c r="K121" s="126"/>
      <c r="L121" s="123"/>
      <c r="M121" s="126"/>
      <c r="N121" s="126"/>
      <c r="O121" s="126"/>
      <c r="P121" s="126"/>
      <c r="Q121" s="126"/>
      <c r="R121" s="123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3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  <c r="CJ121" s="126"/>
      <c r="CK121" s="126"/>
      <c r="CL121" s="126"/>
      <c r="CM121" s="126"/>
      <c r="CN121" s="126"/>
      <c r="CO121" s="126"/>
      <c r="CP121" s="126"/>
      <c r="CQ121" s="126"/>
      <c r="CR121" s="126"/>
      <c r="CS121" s="126"/>
      <c r="CT121" s="126"/>
      <c r="CU121" s="126"/>
      <c r="CV121" s="126"/>
      <c r="CW121" s="126"/>
      <c r="CX121" s="126"/>
      <c r="CY121" s="126"/>
      <c r="CZ121" s="126"/>
      <c r="DA121" s="126"/>
      <c r="DB121" s="126"/>
      <c r="DC121" s="126"/>
      <c r="DD121" s="126"/>
      <c r="DE121" s="126"/>
      <c r="DF121" s="126"/>
      <c r="DG121" s="126"/>
      <c r="DH121" s="126"/>
      <c r="DI121" s="126"/>
      <c r="DJ121" s="126"/>
      <c r="DK121" s="126"/>
      <c r="DL121" s="126"/>
      <c r="DM121" s="126"/>
      <c r="DN121" s="126"/>
      <c r="DO121" s="126"/>
      <c r="DP121" s="126"/>
      <c r="DQ121" s="126"/>
      <c r="DR121" s="126"/>
      <c r="DS121" s="210"/>
      <c r="DT121" s="126"/>
      <c r="DU121" s="126"/>
      <c r="DV121" s="126"/>
      <c r="DW121" s="126"/>
      <c r="DX121" s="126"/>
      <c r="DY121" s="126"/>
      <c r="DZ121" s="126"/>
      <c r="EA121" s="126"/>
      <c r="EB121" s="126"/>
      <c r="EC121" s="126"/>
      <c r="ED121" s="126"/>
      <c r="EE121" s="126"/>
      <c r="EF121" s="126"/>
      <c r="EG121" s="126"/>
      <c r="EH121" s="126"/>
      <c r="EI121" s="126"/>
      <c r="EJ121" s="126"/>
      <c r="EK121" s="126"/>
      <c r="EL121" s="126"/>
      <c r="EM121" s="126"/>
      <c r="EN121" s="126"/>
      <c r="EO121" s="126"/>
      <c r="EP121" s="126"/>
      <c r="EQ121" s="126"/>
      <c r="ER121" s="126"/>
      <c r="ES121" s="126"/>
      <c r="ET121" s="126"/>
      <c r="EU121" s="126"/>
      <c r="EV121" s="126"/>
      <c r="EW121" s="126"/>
      <c r="EX121" s="126"/>
      <c r="EY121" s="126"/>
      <c r="EZ121" s="126"/>
      <c r="FA121" s="126"/>
      <c r="FB121" s="126"/>
      <c r="FC121" s="126"/>
      <c r="FD121" s="126"/>
      <c r="FE121" s="126"/>
      <c r="FF121" s="126"/>
      <c r="FG121" s="126"/>
      <c r="FH121" s="126"/>
      <c r="FI121" s="126"/>
      <c r="FJ121" s="126"/>
      <c r="FK121" s="126"/>
      <c r="FL121" s="126"/>
      <c r="FM121" s="126"/>
      <c r="FN121" s="126"/>
      <c r="FO121" s="126"/>
      <c r="FP121" s="126"/>
      <c r="FQ121" s="126"/>
      <c r="FR121" s="126"/>
      <c r="FS121" s="126"/>
      <c r="FT121" s="126"/>
      <c r="FU121" s="126"/>
      <c r="FV121" s="126"/>
      <c r="FW121" s="126"/>
      <c r="FX121" s="126"/>
      <c r="FY121" s="126"/>
      <c r="FZ121" s="126"/>
      <c r="GA121" s="123"/>
      <c r="GB121" s="126"/>
      <c r="GC121" s="126"/>
      <c r="GD121" s="126"/>
      <c r="GV121" s="123"/>
      <c r="GW121" s="123"/>
      <c r="GX121" s="123"/>
      <c r="GY121" s="123"/>
      <c r="GZ121" s="123"/>
      <c r="HA121" s="123"/>
      <c r="HK121" s="123"/>
    </row>
    <row r="122" s="126" customFormat="1" spans="1:219">
      <c r="A122" s="142"/>
      <c r="B122" s="123"/>
      <c r="C122" s="126"/>
      <c r="D122" s="126"/>
      <c r="E122" s="126"/>
      <c r="F122" s="126"/>
      <c r="G122" s="126"/>
      <c r="H122" s="126"/>
      <c r="I122" s="126"/>
      <c r="J122" s="126"/>
      <c r="K122" s="126"/>
      <c r="L122" s="123"/>
      <c r="M122" s="126"/>
      <c r="N122" s="126"/>
      <c r="O122" s="126"/>
      <c r="P122" s="126"/>
      <c r="Q122" s="126"/>
      <c r="R122" s="123"/>
      <c r="S122" s="126"/>
      <c r="T122" s="126"/>
      <c r="U122" s="126"/>
      <c r="V122" s="126"/>
      <c r="W122" s="123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3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  <c r="CJ122" s="126"/>
      <c r="CK122" s="126"/>
      <c r="CL122" s="126"/>
      <c r="CM122" s="126"/>
      <c r="CN122" s="126"/>
      <c r="CO122" s="126"/>
      <c r="CP122" s="126"/>
      <c r="CQ122" s="126"/>
      <c r="CR122" s="126"/>
      <c r="CS122" s="126"/>
      <c r="CT122" s="126"/>
      <c r="CU122" s="126"/>
      <c r="CV122" s="126"/>
      <c r="CW122" s="126"/>
      <c r="CX122" s="126"/>
      <c r="CY122" s="126"/>
      <c r="CZ122" s="126"/>
      <c r="DA122" s="126"/>
      <c r="DB122" s="126"/>
      <c r="DC122" s="126"/>
      <c r="DD122" s="126"/>
      <c r="DE122" s="126"/>
      <c r="DF122" s="126"/>
      <c r="DG122" s="126"/>
      <c r="DH122" s="126"/>
      <c r="DI122" s="126"/>
      <c r="DJ122" s="126"/>
      <c r="DK122" s="126"/>
      <c r="DL122" s="126"/>
      <c r="DM122" s="126"/>
      <c r="DN122" s="126"/>
      <c r="DO122" s="126"/>
      <c r="DP122" s="126"/>
      <c r="DQ122" s="126"/>
      <c r="DR122" s="126"/>
      <c r="DS122" s="210"/>
      <c r="DT122" s="126"/>
      <c r="DU122" s="126"/>
      <c r="DV122" s="126"/>
      <c r="DW122" s="126"/>
      <c r="DX122" s="126"/>
      <c r="DY122" s="126"/>
      <c r="DZ122" s="126"/>
      <c r="EA122" s="126"/>
      <c r="EB122" s="126"/>
      <c r="EC122" s="126"/>
      <c r="ED122" s="126"/>
      <c r="EE122" s="126"/>
      <c r="EF122" s="126"/>
      <c r="EG122" s="126"/>
      <c r="EH122" s="126"/>
      <c r="EI122" s="126"/>
      <c r="EJ122" s="126"/>
      <c r="EK122" s="126"/>
      <c r="EL122" s="126"/>
      <c r="EM122" s="126"/>
      <c r="EN122" s="126"/>
      <c r="EO122" s="126"/>
      <c r="EP122" s="126"/>
      <c r="EQ122" s="126"/>
      <c r="ER122" s="126"/>
      <c r="ES122" s="126"/>
      <c r="ET122" s="126"/>
      <c r="EU122" s="126"/>
      <c r="EV122" s="126"/>
      <c r="EW122" s="126"/>
      <c r="EX122" s="126"/>
      <c r="EY122" s="126"/>
      <c r="EZ122" s="126"/>
      <c r="FA122" s="126"/>
      <c r="FB122" s="126"/>
      <c r="FC122" s="126"/>
      <c r="FD122" s="126"/>
      <c r="FE122" s="126"/>
      <c r="FF122" s="126"/>
      <c r="FG122" s="126"/>
      <c r="FH122" s="126"/>
      <c r="FI122" s="126"/>
      <c r="FJ122" s="126"/>
      <c r="FK122" s="126"/>
      <c r="FL122" s="126"/>
      <c r="FM122" s="126"/>
      <c r="FN122" s="126"/>
      <c r="FO122" s="126"/>
      <c r="FP122" s="126"/>
      <c r="FQ122" s="126"/>
      <c r="FR122" s="126"/>
      <c r="FS122" s="126"/>
      <c r="FT122" s="126"/>
      <c r="FU122" s="126"/>
      <c r="FV122" s="126"/>
      <c r="FW122" s="126"/>
      <c r="FX122" s="126"/>
      <c r="FY122" s="126"/>
      <c r="FZ122" s="126"/>
      <c r="GA122" s="123"/>
      <c r="GB122" s="126"/>
      <c r="GC122" s="126"/>
      <c r="GD122" s="126"/>
      <c r="GV122" s="123"/>
      <c r="GW122" s="123"/>
      <c r="GX122" s="123"/>
      <c r="GY122" s="123"/>
      <c r="GZ122" s="123"/>
      <c r="HA122" s="123"/>
      <c r="HB122" s="123"/>
      <c r="HC122" s="123"/>
      <c r="HD122" s="123"/>
      <c r="HE122" s="123"/>
      <c r="HF122" s="123"/>
      <c r="HG122" s="123"/>
      <c r="HH122" s="123"/>
      <c r="HI122" s="123"/>
      <c r="HJ122" s="123"/>
      <c r="HK122" s="123"/>
    </row>
    <row r="123" s="126" customFormat="1" spans="1:219">
      <c r="B123" s="123"/>
      <c r="C123" s="126"/>
      <c r="D123" s="126"/>
      <c r="E123" s="126"/>
      <c r="F123" s="126"/>
      <c r="G123" s="126"/>
      <c r="H123" s="126"/>
      <c r="I123" s="126"/>
      <c r="J123" s="126"/>
      <c r="K123" s="126"/>
      <c r="L123" s="123"/>
      <c r="M123" s="126"/>
      <c r="N123" s="126"/>
      <c r="O123" s="126"/>
      <c r="P123" s="126"/>
      <c r="Q123" s="126"/>
      <c r="R123" s="123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3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  <c r="CJ123" s="126"/>
      <c r="CK123" s="126"/>
      <c r="CL123" s="126"/>
      <c r="CM123" s="126"/>
      <c r="CN123" s="126"/>
      <c r="CO123" s="126"/>
      <c r="CP123" s="126"/>
      <c r="CQ123" s="126"/>
      <c r="CR123" s="126"/>
      <c r="CS123" s="126"/>
      <c r="CT123" s="126"/>
      <c r="CU123" s="126"/>
      <c r="CV123" s="126"/>
      <c r="CW123" s="126"/>
      <c r="CX123" s="126"/>
      <c r="CY123" s="126"/>
      <c r="CZ123" s="126"/>
      <c r="DA123" s="126"/>
      <c r="DB123" s="126"/>
      <c r="DC123" s="126"/>
      <c r="DD123" s="126"/>
      <c r="DE123" s="126"/>
      <c r="DF123" s="126"/>
      <c r="DG123" s="126"/>
      <c r="DH123" s="126"/>
      <c r="DI123" s="126"/>
      <c r="DJ123" s="126"/>
      <c r="DK123" s="126"/>
      <c r="DL123" s="126"/>
      <c r="DM123" s="126"/>
      <c r="DN123" s="126"/>
      <c r="DO123" s="126"/>
      <c r="DP123" s="126"/>
      <c r="DQ123" s="126"/>
      <c r="DR123" s="126"/>
      <c r="DS123" s="210"/>
      <c r="DT123" s="126"/>
      <c r="DU123" s="126"/>
      <c r="DV123" s="126"/>
      <c r="DW123" s="126"/>
      <c r="DX123" s="126"/>
      <c r="DY123" s="126"/>
      <c r="DZ123" s="126"/>
      <c r="EA123" s="126"/>
      <c r="EB123" s="126"/>
      <c r="EC123" s="126"/>
      <c r="ED123" s="126"/>
      <c r="EE123" s="126"/>
      <c r="EF123" s="126"/>
      <c r="EG123" s="126"/>
      <c r="EH123" s="126"/>
      <c r="EI123" s="126"/>
      <c r="EJ123" s="126"/>
      <c r="EK123" s="126"/>
      <c r="EL123" s="126"/>
      <c r="EM123" s="126"/>
      <c r="EN123" s="126"/>
      <c r="EO123" s="126"/>
      <c r="EP123" s="126"/>
      <c r="EQ123" s="126"/>
      <c r="ER123" s="126"/>
      <c r="ES123" s="126"/>
      <c r="ET123" s="126"/>
      <c r="EU123" s="126"/>
      <c r="EV123" s="126"/>
      <c r="EW123" s="126"/>
      <c r="EX123" s="126"/>
      <c r="EY123" s="126"/>
      <c r="EZ123" s="126"/>
      <c r="FA123" s="126"/>
      <c r="FB123" s="126"/>
      <c r="FC123" s="126"/>
      <c r="FD123" s="126"/>
      <c r="FE123" s="126"/>
      <c r="FF123" s="126"/>
      <c r="FG123" s="126"/>
      <c r="FH123" s="126"/>
      <c r="FI123" s="126"/>
      <c r="FJ123" s="126"/>
      <c r="FK123" s="126"/>
      <c r="FL123" s="126"/>
      <c r="FM123" s="126"/>
      <c r="FN123" s="126"/>
      <c r="FO123" s="126"/>
      <c r="FP123" s="126"/>
      <c r="FQ123" s="126"/>
      <c r="FR123" s="126"/>
      <c r="FS123" s="126"/>
      <c r="FT123" s="126"/>
      <c r="FU123" s="126"/>
      <c r="FV123" s="126"/>
      <c r="FW123" s="126"/>
      <c r="FX123" s="126"/>
      <c r="FY123" s="126"/>
      <c r="FZ123" s="126"/>
      <c r="GA123" s="123"/>
      <c r="GB123" s="126"/>
      <c r="GC123" s="126"/>
      <c r="GD123" s="126"/>
      <c r="GV123" s="123"/>
      <c r="GW123" s="123"/>
      <c r="GX123" s="123"/>
      <c r="GY123" s="123"/>
      <c r="GZ123" s="123"/>
      <c r="HA123" s="123"/>
      <c r="HK123" s="123"/>
    </row>
    <row r="124" s="126" customFormat="1" spans="1:219">
      <c r="B124" s="123"/>
      <c r="C124" s="126"/>
      <c r="D124" s="126"/>
      <c r="E124" s="126"/>
      <c r="F124" s="126"/>
      <c r="G124" s="126"/>
      <c r="H124" s="126"/>
      <c r="I124" s="126"/>
      <c r="J124" s="126"/>
      <c r="K124" s="126"/>
      <c r="L124" s="123"/>
      <c r="M124" s="126"/>
      <c r="N124" s="126"/>
      <c r="O124" s="126"/>
      <c r="P124" s="126"/>
      <c r="Q124" s="126"/>
      <c r="R124" s="123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3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  <c r="CJ124" s="126"/>
      <c r="CK124" s="126"/>
      <c r="CL124" s="126"/>
      <c r="CM124" s="126"/>
      <c r="CN124" s="126"/>
      <c r="CO124" s="126"/>
      <c r="CP124" s="126"/>
      <c r="CQ124" s="126"/>
      <c r="CR124" s="126"/>
      <c r="CS124" s="126"/>
      <c r="CT124" s="126"/>
      <c r="CU124" s="126"/>
      <c r="CV124" s="126"/>
      <c r="CW124" s="126"/>
      <c r="CX124" s="126"/>
      <c r="CY124" s="126"/>
      <c r="CZ124" s="126"/>
      <c r="DA124" s="126"/>
      <c r="DB124" s="126"/>
      <c r="DC124" s="126"/>
      <c r="DD124" s="126"/>
      <c r="DE124" s="126"/>
      <c r="DF124" s="126"/>
      <c r="DG124" s="126"/>
      <c r="DH124" s="126"/>
      <c r="DI124" s="126"/>
      <c r="DJ124" s="126"/>
      <c r="DK124" s="126"/>
      <c r="DL124" s="126"/>
      <c r="DM124" s="126"/>
      <c r="DN124" s="126"/>
      <c r="DO124" s="126"/>
      <c r="DP124" s="126"/>
      <c r="DQ124" s="126"/>
      <c r="DR124" s="126"/>
      <c r="DS124" s="210"/>
      <c r="DT124" s="126"/>
      <c r="DU124" s="126"/>
      <c r="DV124" s="126"/>
      <c r="DW124" s="126"/>
      <c r="DX124" s="126"/>
      <c r="DY124" s="126"/>
      <c r="DZ124" s="126"/>
      <c r="EA124" s="126"/>
      <c r="EB124" s="126"/>
      <c r="EC124" s="126"/>
      <c r="ED124" s="126"/>
      <c r="EE124" s="126"/>
      <c r="EF124" s="126"/>
      <c r="EG124" s="126"/>
      <c r="EH124" s="126"/>
      <c r="EI124" s="126"/>
      <c r="EJ124" s="126"/>
      <c r="EK124" s="126"/>
      <c r="EL124" s="126"/>
      <c r="EM124" s="126"/>
      <c r="EN124" s="126"/>
      <c r="EO124" s="126"/>
      <c r="EP124" s="126"/>
      <c r="EQ124" s="126"/>
      <c r="ER124" s="126"/>
      <c r="ES124" s="126"/>
      <c r="ET124" s="126"/>
      <c r="EU124" s="126"/>
      <c r="EV124" s="126"/>
      <c r="EW124" s="126"/>
      <c r="EX124" s="126"/>
      <c r="EY124" s="126"/>
      <c r="EZ124" s="126"/>
      <c r="FA124" s="126"/>
      <c r="FB124" s="126"/>
      <c r="FC124" s="126"/>
      <c r="FD124" s="126"/>
      <c r="FE124" s="126"/>
      <c r="FF124" s="126"/>
      <c r="FG124" s="126"/>
      <c r="FH124" s="126"/>
      <c r="FI124" s="126"/>
      <c r="FJ124" s="126"/>
      <c r="FK124" s="126"/>
      <c r="FL124" s="126"/>
      <c r="FM124" s="126"/>
      <c r="FN124" s="126"/>
      <c r="FO124" s="126"/>
      <c r="FP124" s="126"/>
      <c r="FQ124" s="126"/>
      <c r="FR124" s="126"/>
      <c r="FS124" s="126"/>
      <c r="FT124" s="126"/>
      <c r="FU124" s="126"/>
      <c r="FV124" s="126"/>
      <c r="FW124" s="126"/>
      <c r="FX124" s="126"/>
      <c r="FY124" s="126"/>
      <c r="FZ124" s="126"/>
      <c r="GA124" s="123"/>
      <c r="GB124" s="126"/>
      <c r="GC124" s="126"/>
      <c r="GD124" s="126"/>
      <c r="GS124" s="123"/>
      <c r="GT124" s="123"/>
      <c r="GU124" s="123"/>
      <c r="GV124" s="123"/>
    </row>
    <row r="125" s="126" customFormat="1" spans="1:219">
      <c r="A125" s="142"/>
      <c r="B125" s="123"/>
      <c r="C125" s="126"/>
      <c r="D125" s="126"/>
      <c r="E125" s="126"/>
      <c r="F125" s="126"/>
      <c r="G125" s="126"/>
      <c r="H125" s="126"/>
      <c r="I125" s="126"/>
      <c r="J125" s="126"/>
      <c r="K125" s="126"/>
      <c r="L125" s="123"/>
      <c r="M125" s="126"/>
      <c r="N125" s="126"/>
      <c r="O125" s="126"/>
      <c r="P125" s="126"/>
      <c r="Q125" s="126"/>
      <c r="R125" s="123"/>
      <c r="S125" s="126"/>
      <c r="T125" s="126"/>
      <c r="U125" s="126"/>
      <c r="V125" s="126"/>
      <c r="W125" s="123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3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  <c r="CJ125" s="126"/>
      <c r="CK125" s="126"/>
      <c r="CL125" s="126"/>
      <c r="CM125" s="126"/>
      <c r="CN125" s="126"/>
      <c r="CO125" s="126"/>
      <c r="CP125" s="126"/>
      <c r="CQ125" s="126"/>
      <c r="CR125" s="126"/>
      <c r="CS125" s="126"/>
      <c r="CT125" s="126"/>
      <c r="CU125" s="126"/>
      <c r="CV125" s="126"/>
      <c r="CW125" s="126"/>
      <c r="CX125" s="126"/>
      <c r="CY125" s="126"/>
      <c r="CZ125" s="126"/>
      <c r="DA125" s="126"/>
      <c r="DB125" s="126"/>
      <c r="DC125" s="126"/>
      <c r="DD125" s="126"/>
      <c r="DE125" s="126"/>
      <c r="DF125" s="126"/>
      <c r="DG125" s="126"/>
      <c r="DH125" s="126"/>
      <c r="DI125" s="126"/>
      <c r="DJ125" s="126"/>
      <c r="DK125" s="126"/>
      <c r="DL125" s="126"/>
      <c r="DM125" s="126"/>
      <c r="DN125" s="126"/>
      <c r="DO125" s="126"/>
      <c r="DP125" s="126"/>
      <c r="DQ125" s="126"/>
      <c r="DR125" s="126"/>
      <c r="DS125" s="210"/>
      <c r="DT125" s="126"/>
      <c r="DU125" s="126"/>
      <c r="DV125" s="126"/>
      <c r="DW125" s="126"/>
      <c r="DX125" s="126"/>
      <c r="DY125" s="126"/>
      <c r="DZ125" s="126"/>
      <c r="EA125" s="126"/>
      <c r="EB125" s="126"/>
      <c r="EC125" s="126"/>
      <c r="ED125" s="126"/>
      <c r="EE125" s="126"/>
      <c r="EF125" s="126"/>
      <c r="EG125" s="126"/>
      <c r="EH125" s="126"/>
      <c r="EI125" s="126"/>
      <c r="EJ125" s="126"/>
      <c r="EK125" s="126"/>
      <c r="EL125" s="126"/>
      <c r="EM125" s="126"/>
      <c r="EN125" s="126"/>
      <c r="EO125" s="126"/>
      <c r="EP125" s="126"/>
      <c r="EQ125" s="126"/>
      <c r="ER125" s="126"/>
      <c r="ES125" s="126"/>
      <c r="ET125" s="126"/>
      <c r="EU125" s="126"/>
      <c r="EV125" s="126"/>
      <c r="EW125" s="126"/>
      <c r="EX125" s="126"/>
      <c r="EY125" s="126"/>
      <c r="EZ125" s="126"/>
      <c r="FA125" s="126"/>
      <c r="FB125" s="126"/>
      <c r="FC125" s="126"/>
      <c r="FD125" s="126"/>
      <c r="FE125" s="126"/>
      <c r="FF125" s="126"/>
      <c r="FG125" s="126"/>
      <c r="FH125" s="126"/>
      <c r="FI125" s="126"/>
      <c r="FJ125" s="126"/>
      <c r="FK125" s="126"/>
      <c r="FL125" s="126"/>
      <c r="FM125" s="126"/>
      <c r="FN125" s="126"/>
      <c r="FO125" s="126"/>
      <c r="FP125" s="126"/>
      <c r="FQ125" s="126"/>
      <c r="FR125" s="126"/>
      <c r="FS125" s="126"/>
      <c r="FT125" s="126"/>
      <c r="FU125" s="126"/>
      <c r="FV125" s="126"/>
      <c r="FW125" s="126"/>
      <c r="FX125" s="126"/>
      <c r="FY125" s="126"/>
      <c r="FZ125" s="126"/>
      <c r="GA125" s="123"/>
      <c r="GB125" s="126"/>
      <c r="GC125" s="126"/>
      <c r="GD125" s="126"/>
      <c r="GQ125" s="123"/>
      <c r="GV125" s="123"/>
      <c r="GW125" s="123"/>
      <c r="GX125" s="123"/>
      <c r="GY125" s="123"/>
      <c r="GZ125" s="123"/>
      <c r="HA125" s="123"/>
      <c r="HB125" s="123"/>
      <c r="HC125" s="123"/>
      <c r="HD125" s="123"/>
      <c r="HE125" s="123"/>
      <c r="HF125" s="123"/>
      <c r="HG125" s="123"/>
      <c r="HH125" s="123"/>
      <c r="HI125" s="123"/>
      <c r="HJ125" s="123"/>
      <c r="HK125" s="123"/>
    </row>
    <row r="126" s="126" customFormat="1" spans="1:219">
      <c r="B126" s="123"/>
      <c r="C126" s="126"/>
      <c r="D126" s="126"/>
      <c r="E126" s="126"/>
      <c r="F126" s="126"/>
      <c r="G126" s="126"/>
      <c r="H126" s="126"/>
      <c r="I126" s="126"/>
      <c r="J126" s="126"/>
      <c r="K126" s="126"/>
      <c r="L126" s="123"/>
      <c r="M126" s="126"/>
      <c r="N126" s="126"/>
      <c r="O126" s="126"/>
      <c r="P126" s="126"/>
      <c r="Q126" s="126"/>
      <c r="R126" s="123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  <c r="CJ126" s="126"/>
      <c r="CK126" s="126"/>
      <c r="CL126" s="126"/>
      <c r="CM126" s="126"/>
      <c r="CN126" s="126"/>
      <c r="CO126" s="126"/>
      <c r="CP126" s="126"/>
      <c r="CQ126" s="126"/>
      <c r="CR126" s="126"/>
      <c r="CS126" s="126"/>
      <c r="CT126" s="126"/>
      <c r="CU126" s="126"/>
      <c r="CV126" s="126"/>
      <c r="CW126" s="126"/>
      <c r="CX126" s="126"/>
      <c r="CY126" s="126"/>
      <c r="CZ126" s="126"/>
      <c r="DA126" s="126"/>
      <c r="DB126" s="126"/>
      <c r="DC126" s="126"/>
      <c r="DD126" s="126"/>
      <c r="DE126" s="126"/>
      <c r="DF126" s="126"/>
      <c r="DG126" s="126"/>
      <c r="DH126" s="126"/>
      <c r="DI126" s="126"/>
      <c r="DJ126" s="126"/>
      <c r="DK126" s="126"/>
      <c r="DL126" s="126"/>
      <c r="DM126" s="126"/>
      <c r="DN126" s="126"/>
      <c r="DO126" s="126"/>
      <c r="DP126" s="126"/>
      <c r="DQ126" s="126"/>
      <c r="DR126" s="126"/>
      <c r="DS126" s="210"/>
      <c r="DT126" s="126"/>
      <c r="DU126" s="126"/>
      <c r="DV126" s="126"/>
      <c r="DW126" s="126"/>
      <c r="DX126" s="126"/>
      <c r="DY126" s="126"/>
      <c r="DZ126" s="126"/>
      <c r="EA126" s="126"/>
      <c r="EB126" s="126"/>
      <c r="EC126" s="126"/>
      <c r="ED126" s="126"/>
      <c r="EE126" s="126"/>
      <c r="EF126" s="126"/>
      <c r="EG126" s="126"/>
      <c r="EH126" s="126"/>
      <c r="EI126" s="126"/>
      <c r="EJ126" s="126"/>
      <c r="EK126" s="126"/>
      <c r="EL126" s="126"/>
      <c r="EM126" s="126"/>
      <c r="EN126" s="126"/>
      <c r="EO126" s="126"/>
      <c r="EP126" s="126"/>
      <c r="EQ126" s="126"/>
      <c r="ER126" s="126"/>
      <c r="ES126" s="126"/>
      <c r="ET126" s="126"/>
      <c r="EU126" s="126"/>
      <c r="EV126" s="126"/>
      <c r="EW126" s="126"/>
      <c r="EX126" s="126"/>
      <c r="EY126" s="126"/>
      <c r="EZ126" s="126"/>
      <c r="FA126" s="126"/>
      <c r="FB126" s="126"/>
      <c r="FC126" s="126"/>
      <c r="FD126" s="126"/>
      <c r="FE126" s="126"/>
      <c r="FF126" s="126"/>
      <c r="FG126" s="126"/>
      <c r="FH126" s="126"/>
      <c r="FI126" s="126"/>
      <c r="FJ126" s="126"/>
      <c r="FK126" s="126"/>
      <c r="FL126" s="126"/>
      <c r="FM126" s="126"/>
      <c r="FN126" s="126"/>
      <c r="FO126" s="126"/>
      <c r="FP126" s="126"/>
      <c r="FQ126" s="126"/>
      <c r="FR126" s="126"/>
      <c r="FS126" s="126"/>
      <c r="FT126" s="126"/>
      <c r="FU126" s="126"/>
      <c r="FV126" s="126"/>
      <c r="FW126" s="126"/>
      <c r="FX126" s="126"/>
      <c r="FY126" s="126"/>
      <c r="FZ126" s="126"/>
      <c r="GA126" s="123"/>
      <c r="GB126" s="126"/>
      <c r="GC126" s="126"/>
      <c r="GD126" s="126"/>
      <c r="GV126" s="123"/>
    </row>
    <row r="127" s="126" customFormat="1" spans="1:219">
      <c r="B127" s="123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3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26"/>
      <c r="AS127" s="126"/>
      <c r="AT127" s="126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  <c r="CJ127" s="126"/>
      <c r="CK127" s="126"/>
      <c r="CL127" s="126"/>
      <c r="CM127" s="126"/>
      <c r="CN127" s="126"/>
      <c r="CO127" s="126"/>
      <c r="CP127" s="126"/>
      <c r="CQ127" s="126"/>
      <c r="CR127" s="126"/>
      <c r="CS127" s="126"/>
      <c r="CT127" s="126"/>
      <c r="CU127" s="126"/>
      <c r="CV127" s="126"/>
      <c r="CW127" s="126"/>
      <c r="CX127" s="126"/>
      <c r="CY127" s="126"/>
      <c r="CZ127" s="126"/>
      <c r="DA127" s="126"/>
      <c r="DB127" s="126"/>
      <c r="DC127" s="126"/>
      <c r="DD127" s="126"/>
      <c r="DE127" s="126"/>
      <c r="DF127" s="126"/>
      <c r="DG127" s="126"/>
      <c r="DH127" s="126"/>
      <c r="DI127" s="126"/>
      <c r="DJ127" s="126"/>
      <c r="DK127" s="126"/>
      <c r="DL127" s="126"/>
      <c r="DM127" s="126"/>
      <c r="DN127" s="126"/>
      <c r="DO127" s="126"/>
      <c r="DP127" s="126"/>
      <c r="DQ127" s="126"/>
      <c r="DR127" s="126"/>
      <c r="DS127" s="210"/>
      <c r="DT127" s="126"/>
      <c r="DU127" s="126"/>
      <c r="DV127" s="126"/>
      <c r="DW127" s="126"/>
      <c r="DX127" s="126"/>
      <c r="DY127" s="126"/>
      <c r="DZ127" s="126"/>
      <c r="EA127" s="126"/>
      <c r="EB127" s="126"/>
      <c r="EC127" s="126"/>
      <c r="ED127" s="126"/>
      <c r="EE127" s="126"/>
      <c r="EF127" s="126"/>
      <c r="EG127" s="126"/>
      <c r="EH127" s="126"/>
      <c r="EI127" s="126"/>
      <c r="EJ127" s="126"/>
      <c r="EK127" s="126"/>
      <c r="EL127" s="126"/>
      <c r="EM127" s="126"/>
      <c r="EN127" s="126"/>
      <c r="EO127" s="126"/>
      <c r="EP127" s="126"/>
      <c r="EQ127" s="126"/>
      <c r="ER127" s="126"/>
      <c r="ES127" s="126"/>
      <c r="ET127" s="126"/>
      <c r="EU127" s="126"/>
      <c r="EV127" s="126"/>
      <c r="EW127" s="126"/>
      <c r="EX127" s="126"/>
      <c r="EY127" s="126"/>
      <c r="EZ127" s="126"/>
      <c r="FA127" s="126"/>
      <c r="FB127" s="126"/>
      <c r="FC127" s="126"/>
      <c r="FD127" s="126"/>
      <c r="FE127" s="126"/>
      <c r="FF127" s="126"/>
      <c r="FG127" s="126"/>
      <c r="FH127" s="126"/>
      <c r="FI127" s="126"/>
      <c r="FJ127" s="126"/>
      <c r="FK127" s="126"/>
      <c r="FL127" s="126"/>
      <c r="FM127" s="126"/>
      <c r="FN127" s="126"/>
      <c r="FO127" s="126"/>
      <c r="FP127" s="126"/>
      <c r="FQ127" s="126"/>
      <c r="FR127" s="126"/>
      <c r="FS127" s="126"/>
      <c r="FT127" s="126"/>
      <c r="FU127" s="126"/>
      <c r="FV127" s="126"/>
      <c r="FW127" s="126"/>
      <c r="FX127" s="126"/>
      <c r="FY127" s="126"/>
      <c r="FZ127" s="126"/>
      <c r="GA127" s="123"/>
      <c r="GB127" s="126"/>
      <c r="GC127" s="126"/>
      <c r="GD127" s="126"/>
      <c r="GV127" s="123"/>
    </row>
    <row r="128" s="126" customFormat="1" spans="1:219">
      <c r="B128" s="123"/>
      <c r="C128" s="126"/>
      <c r="D128" s="126"/>
      <c r="E128" s="126"/>
      <c r="F128" s="126"/>
      <c r="G128" s="126"/>
      <c r="H128" s="126"/>
      <c r="I128" s="126"/>
      <c r="J128" s="126"/>
      <c r="K128" s="126"/>
      <c r="L128" s="123"/>
      <c r="M128" s="126"/>
      <c r="N128" s="126"/>
      <c r="O128" s="126"/>
      <c r="P128" s="126"/>
      <c r="Q128" s="126"/>
      <c r="R128" s="123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  <c r="AP128" s="126"/>
      <c r="AQ128" s="126"/>
      <c r="AR128" s="126"/>
      <c r="AS128" s="126"/>
      <c r="AT128" s="126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  <c r="CJ128" s="126"/>
      <c r="CK128" s="126"/>
      <c r="CL128" s="126"/>
      <c r="CM128" s="126"/>
      <c r="CN128" s="126"/>
      <c r="CO128" s="126"/>
      <c r="CP128" s="126"/>
      <c r="CQ128" s="126"/>
      <c r="CR128" s="126"/>
      <c r="CS128" s="126"/>
      <c r="CT128" s="126"/>
      <c r="CU128" s="126"/>
      <c r="CV128" s="126"/>
      <c r="CW128" s="126"/>
      <c r="CX128" s="126"/>
      <c r="CY128" s="126"/>
      <c r="CZ128" s="126"/>
      <c r="DA128" s="126"/>
      <c r="DB128" s="126"/>
      <c r="DC128" s="126"/>
      <c r="DD128" s="126"/>
      <c r="DE128" s="126"/>
      <c r="DF128" s="126"/>
      <c r="DG128" s="126"/>
      <c r="DH128" s="126"/>
      <c r="DI128" s="126"/>
      <c r="DJ128" s="126"/>
      <c r="DK128" s="126"/>
      <c r="DL128" s="126"/>
      <c r="DM128" s="126"/>
      <c r="DN128" s="126"/>
      <c r="DO128" s="126"/>
      <c r="DP128" s="126"/>
      <c r="DQ128" s="126"/>
      <c r="DR128" s="126"/>
      <c r="DS128" s="210"/>
      <c r="DT128" s="126"/>
      <c r="DU128" s="126"/>
      <c r="DV128" s="126"/>
      <c r="DW128" s="126"/>
      <c r="DX128" s="126"/>
      <c r="DY128" s="126"/>
      <c r="DZ128" s="126"/>
      <c r="EA128" s="126"/>
      <c r="EB128" s="126"/>
      <c r="EC128" s="126"/>
      <c r="ED128" s="126"/>
      <c r="EE128" s="126"/>
      <c r="EF128" s="126"/>
      <c r="EG128" s="126"/>
      <c r="EH128" s="126"/>
      <c r="EI128" s="126"/>
      <c r="EJ128" s="126"/>
      <c r="EK128" s="126"/>
      <c r="EL128" s="126"/>
      <c r="EM128" s="126"/>
      <c r="EN128" s="126"/>
      <c r="EO128" s="126"/>
      <c r="EP128" s="126"/>
      <c r="EQ128" s="126"/>
      <c r="ER128" s="126"/>
      <c r="ES128" s="126"/>
      <c r="ET128" s="126"/>
      <c r="EU128" s="126"/>
      <c r="EV128" s="126"/>
      <c r="EW128" s="126"/>
      <c r="EX128" s="126"/>
      <c r="EY128" s="126"/>
      <c r="EZ128" s="126"/>
      <c r="FA128" s="126"/>
      <c r="FB128" s="126"/>
      <c r="FC128" s="126"/>
      <c r="FD128" s="126"/>
      <c r="FE128" s="126"/>
      <c r="FF128" s="126"/>
      <c r="FG128" s="126"/>
      <c r="FH128" s="126"/>
      <c r="FI128" s="126"/>
      <c r="FJ128" s="126"/>
      <c r="FK128" s="126"/>
      <c r="FL128" s="126"/>
      <c r="FM128" s="126"/>
      <c r="FN128" s="126"/>
      <c r="FO128" s="126"/>
      <c r="FP128" s="126"/>
      <c r="FQ128" s="126"/>
      <c r="FR128" s="126"/>
      <c r="FS128" s="126"/>
      <c r="FT128" s="126"/>
      <c r="FU128" s="126"/>
      <c r="FV128" s="126"/>
      <c r="FW128" s="126"/>
      <c r="FX128" s="126"/>
      <c r="FY128" s="126"/>
      <c r="FZ128" s="126"/>
      <c r="GA128" s="123"/>
      <c r="GB128" s="126"/>
      <c r="GC128" s="126"/>
      <c r="GD128" s="126"/>
      <c r="GV128" s="123"/>
      <c r="GW128" s="123"/>
      <c r="GX128" s="123"/>
      <c r="GY128" s="123"/>
      <c r="GZ128" s="123"/>
      <c r="HA128" s="123"/>
      <c r="HB128" s="123"/>
      <c r="HC128" s="123"/>
      <c r="HD128" s="123"/>
      <c r="HE128" s="123"/>
      <c r="HF128" s="123"/>
      <c r="HG128" s="123"/>
      <c r="HH128" s="123"/>
      <c r="HI128" s="123"/>
      <c r="HJ128" s="123"/>
      <c r="HK128" s="123"/>
    </row>
    <row r="129" s="126" customFormat="1" spans="2:219">
      <c r="B129" s="123"/>
      <c r="C129" s="126"/>
      <c r="D129" s="126"/>
      <c r="E129" s="126"/>
      <c r="F129" s="126"/>
      <c r="G129" s="126"/>
      <c r="H129" s="126"/>
      <c r="I129" s="126"/>
      <c r="J129" s="126"/>
      <c r="K129" s="126"/>
      <c r="L129" s="123"/>
      <c r="M129" s="126"/>
      <c r="N129" s="126"/>
      <c r="O129" s="126"/>
      <c r="P129" s="126"/>
      <c r="Q129" s="126"/>
      <c r="R129" s="123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3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  <c r="CJ129" s="126"/>
      <c r="CK129" s="126"/>
      <c r="CL129" s="126"/>
      <c r="CM129" s="126"/>
      <c r="CN129" s="126"/>
      <c r="CO129" s="126"/>
      <c r="CP129" s="126"/>
      <c r="CQ129" s="126"/>
      <c r="CR129" s="126"/>
      <c r="CS129" s="126"/>
      <c r="CT129" s="126"/>
      <c r="CU129" s="126"/>
      <c r="CV129" s="126"/>
      <c r="CW129" s="126"/>
      <c r="CX129" s="126"/>
      <c r="CY129" s="126"/>
      <c r="CZ129" s="126"/>
      <c r="DA129" s="126"/>
      <c r="DB129" s="126"/>
      <c r="DC129" s="126"/>
      <c r="DD129" s="126"/>
      <c r="DE129" s="126"/>
      <c r="DF129" s="126"/>
      <c r="DG129" s="126"/>
      <c r="DH129" s="126"/>
      <c r="DI129" s="126"/>
      <c r="DJ129" s="126"/>
      <c r="DK129" s="126"/>
      <c r="DL129" s="126"/>
      <c r="DM129" s="126"/>
      <c r="DN129" s="126"/>
      <c r="DO129" s="126"/>
      <c r="DP129" s="126"/>
      <c r="DQ129" s="126"/>
      <c r="DR129" s="126"/>
      <c r="DS129" s="210"/>
      <c r="DT129" s="126"/>
      <c r="DU129" s="126"/>
      <c r="DV129" s="126"/>
      <c r="DW129" s="126"/>
      <c r="DX129" s="126"/>
      <c r="DY129" s="126"/>
      <c r="DZ129" s="126"/>
      <c r="EA129" s="126"/>
      <c r="EB129" s="126"/>
      <c r="EC129" s="126"/>
      <c r="ED129" s="126"/>
      <c r="EE129" s="126"/>
      <c r="EF129" s="126"/>
      <c r="EG129" s="126"/>
      <c r="EH129" s="126"/>
      <c r="EI129" s="126"/>
      <c r="EJ129" s="126"/>
      <c r="EK129" s="126"/>
      <c r="EL129" s="126"/>
      <c r="EM129" s="126"/>
      <c r="EN129" s="126"/>
      <c r="EO129" s="126"/>
      <c r="EP129" s="126"/>
      <c r="EQ129" s="126"/>
      <c r="ER129" s="126"/>
      <c r="ES129" s="126"/>
      <c r="ET129" s="126"/>
      <c r="EU129" s="126"/>
      <c r="EV129" s="126"/>
      <c r="EW129" s="126"/>
      <c r="EX129" s="126"/>
      <c r="EY129" s="126"/>
      <c r="EZ129" s="126"/>
      <c r="FA129" s="126"/>
      <c r="FB129" s="126"/>
      <c r="FC129" s="126"/>
      <c r="FD129" s="126"/>
      <c r="FE129" s="126"/>
      <c r="FF129" s="126"/>
      <c r="FG129" s="126"/>
      <c r="FH129" s="126"/>
      <c r="FI129" s="126"/>
      <c r="FJ129" s="126"/>
      <c r="FK129" s="126"/>
      <c r="FL129" s="126"/>
      <c r="FM129" s="126"/>
      <c r="FN129" s="126"/>
      <c r="FO129" s="126"/>
      <c r="FP129" s="126"/>
      <c r="FQ129" s="126"/>
      <c r="FR129" s="126"/>
      <c r="FS129" s="126"/>
      <c r="FT129" s="126"/>
      <c r="FU129" s="126"/>
      <c r="FV129" s="126"/>
      <c r="FW129" s="126"/>
      <c r="FX129" s="126"/>
      <c r="FY129" s="126"/>
      <c r="FZ129" s="126"/>
      <c r="GA129" s="123"/>
      <c r="GB129" s="126"/>
      <c r="GC129" s="126"/>
      <c r="GD129" s="126"/>
      <c r="GV129" s="123"/>
    </row>
    <row r="130" s="126" customFormat="1" spans="2:219">
      <c r="B130" s="123"/>
      <c r="C130" s="126"/>
      <c r="D130" s="126"/>
      <c r="E130" s="126"/>
      <c r="F130" s="126"/>
      <c r="G130" s="126"/>
      <c r="H130" s="126"/>
      <c r="I130" s="126"/>
      <c r="J130" s="126"/>
      <c r="K130" s="126"/>
      <c r="L130" s="123"/>
      <c r="M130" s="126"/>
      <c r="N130" s="126"/>
      <c r="O130" s="126"/>
      <c r="P130" s="126"/>
      <c r="Q130" s="126"/>
      <c r="R130" s="123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3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  <c r="CJ130" s="126"/>
      <c r="CK130" s="126"/>
      <c r="CL130" s="126"/>
      <c r="CM130" s="126"/>
      <c r="CN130" s="126"/>
      <c r="CO130" s="126"/>
      <c r="CP130" s="126"/>
      <c r="CQ130" s="126"/>
      <c r="CR130" s="126"/>
      <c r="CS130" s="126"/>
      <c r="CT130" s="126"/>
      <c r="CU130" s="126"/>
      <c r="CV130" s="126"/>
      <c r="CW130" s="126"/>
      <c r="CX130" s="126"/>
      <c r="CY130" s="126"/>
      <c r="CZ130" s="126"/>
      <c r="DA130" s="126"/>
      <c r="DB130" s="126"/>
      <c r="DC130" s="126"/>
      <c r="DD130" s="126"/>
      <c r="DE130" s="126"/>
      <c r="DF130" s="126"/>
      <c r="DG130" s="126"/>
      <c r="DH130" s="126"/>
      <c r="DI130" s="126"/>
      <c r="DJ130" s="126"/>
      <c r="DK130" s="126"/>
      <c r="DL130" s="126"/>
      <c r="DM130" s="126"/>
      <c r="DN130" s="126"/>
      <c r="DO130" s="126"/>
      <c r="DP130" s="126"/>
      <c r="DQ130" s="126"/>
      <c r="DR130" s="126"/>
      <c r="DS130" s="210"/>
      <c r="DT130" s="126"/>
      <c r="DU130" s="126"/>
      <c r="DV130" s="126"/>
      <c r="DW130" s="126"/>
      <c r="DX130" s="126"/>
      <c r="DY130" s="126"/>
      <c r="DZ130" s="126"/>
      <c r="EA130" s="126"/>
      <c r="EB130" s="126"/>
      <c r="EC130" s="126"/>
      <c r="ED130" s="126"/>
      <c r="EE130" s="126"/>
      <c r="EF130" s="126"/>
      <c r="EG130" s="126"/>
      <c r="EH130" s="126"/>
      <c r="EI130" s="126"/>
      <c r="EJ130" s="126"/>
      <c r="EK130" s="126"/>
      <c r="EL130" s="126"/>
      <c r="EM130" s="126"/>
      <c r="EN130" s="126"/>
      <c r="EO130" s="126"/>
      <c r="EP130" s="126"/>
      <c r="EQ130" s="126"/>
      <c r="ER130" s="126"/>
      <c r="ES130" s="126"/>
      <c r="ET130" s="126"/>
      <c r="EU130" s="126"/>
      <c r="EV130" s="126"/>
      <c r="EW130" s="126"/>
      <c r="EX130" s="126"/>
      <c r="EY130" s="126"/>
      <c r="EZ130" s="126"/>
      <c r="FA130" s="126"/>
      <c r="FB130" s="126"/>
      <c r="FC130" s="126"/>
      <c r="FD130" s="126"/>
      <c r="FE130" s="126"/>
      <c r="FF130" s="126"/>
      <c r="FG130" s="126"/>
      <c r="FH130" s="126"/>
      <c r="FI130" s="126"/>
      <c r="FJ130" s="126"/>
      <c r="FK130" s="126"/>
      <c r="FL130" s="126"/>
      <c r="FM130" s="126"/>
      <c r="FN130" s="126"/>
      <c r="FO130" s="126"/>
      <c r="FP130" s="126"/>
      <c r="FQ130" s="126"/>
      <c r="FR130" s="126"/>
      <c r="FS130" s="126"/>
      <c r="FT130" s="126"/>
      <c r="FU130" s="126"/>
      <c r="FV130" s="126"/>
      <c r="FW130" s="126"/>
      <c r="FX130" s="126"/>
      <c r="FY130" s="126"/>
      <c r="FZ130" s="126"/>
      <c r="GA130" s="123"/>
      <c r="GB130" s="126"/>
      <c r="GC130" s="126"/>
      <c r="GD130" s="126"/>
      <c r="GQ130" s="123"/>
      <c r="GV130" s="123"/>
      <c r="GW130" s="123"/>
      <c r="GX130" s="123"/>
      <c r="GY130" s="123"/>
      <c r="GZ130" s="123"/>
      <c r="HA130" s="123"/>
      <c r="HB130" s="123"/>
      <c r="HC130" s="123"/>
      <c r="HD130" s="123"/>
      <c r="HE130" s="123"/>
      <c r="HF130" s="123"/>
      <c r="HG130" s="123"/>
      <c r="HH130" s="123"/>
      <c r="HI130" s="123"/>
      <c r="HJ130" s="123"/>
      <c r="HK130" s="123"/>
    </row>
    <row r="131" s="126" customFormat="1" spans="2:219">
      <c r="B131" s="123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3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26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  <c r="CJ131" s="126"/>
      <c r="CK131" s="126"/>
      <c r="CL131" s="126"/>
      <c r="CM131" s="126"/>
      <c r="CN131" s="126"/>
      <c r="CO131" s="126"/>
      <c r="CP131" s="126"/>
      <c r="CQ131" s="126"/>
      <c r="CR131" s="126"/>
      <c r="CS131" s="126"/>
      <c r="CT131" s="126"/>
      <c r="CU131" s="126"/>
      <c r="CV131" s="126"/>
      <c r="CW131" s="126"/>
      <c r="CX131" s="126"/>
      <c r="CY131" s="126"/>
      <c r="CZ131" s="126"/>
      <c r="DA131" s="126"/>
      <c r="DB131" s="126"/>
      <c r="DC131" s="126"/>
      <c r="DD131" s="126"/>
      <c r="DE131" s="126"/>
      <c r="DF131" s="126"/>
      <c r="DG131" s="126"/>
      <c r="DH131" s="126"/>
      <c r="DI131" s="126"/>
      <c r="DJ131" s="126"/>
      <c r="DK131" s="126"/>
      <c r="DL131" s="126"/>
      <c r="DM131" s="126"/>
      <c r="DN131" s="126"/>
      <c r="DO131" s="126"/>
      <c r="DP131" s="126"/>
      <c r="DQ131" s="126"/>
      <c r="DR131" s="126"/>
      <c r="DS131" s="210"/>
      <c r="DT131" s="126"/>
      <c r="DU131" s="126"/>
      <c r="DV131" s="126"/>
      <c r="DW131" s="126"/>
      <c r="DX131" s="126"/>
      <c r="DY131" s="126"/>
      <c r="DZ131" s="126"/>
      <c r="EA131" s="126"/>
      <c r="EB131" s="126"/>
      <c r="EC131" s="126"/>
      <c r="ED131" s="126"/>
      <c r="EE131" s="126"/>
      <c r="EF131" s="126"/>
      <c r="EG131" s="126"/>
      <c r="EH131" s="126"/>
      <c r="EI131" s="126"/>
      <c r="EJ131" s="126"/>
      <c r="EK131" s="126"/>
      <c r="EL131" s="126"/>
      <c r="EM131" s="126"/>
      <c r="EN131" s="126"/>
      <c r="EO131" s="126"/>
      <c r="EP131" s="126"/>
      <c r="EQ131" s="126"/>
      <c r="ER131" s="126"/>
      <c r="ES131" s="126"/>
      <c r="ET131" s="126"/>
      <c r="EU131" s="126"/>
      <c r="EV131" s="126"/>
      <c r="EW131" s="126"/>
      <c r="EX131" s="126"/>
      <c r="EY131" s="126"/>
      <c r="EZ131" s="126"/>
      <c r="FA131" s="126"/>
      <c r="FB131" s="126"/>
      <c r="FC131" s="126"/>
      <c r="FD131" s="126"/>
      <c r="FE131" s="126"/>
      <c r="FF131" s="126"/>
      <c r="FG131" s="126"/>
      <c r="FH131" s="126"/>
      <c r="FI131" s="126"/>
      <c r="FJ131" s="126"/>
      <c r="FK131" s="126"/>
      <c r="FL131" s="126"/>
      <c r="FM131" s="126"/>
      <c r="FN131" s="126"/>
      <c r="FO131" s="126"/>
      <c r="FP131" s="126"/>
      <c r="FQ131" s="126"/>
      <c r="FR131" s="126"/>
      <c r="FS131" s="126"/>
      <c r="FT131" s="126"/>
      <c r="FU131" s="126"/>
      <c r="FV131" s="126"/>
      <c r="FW131" s="126"/>
      <c r="FX131" s="126"/>
      <c r="FY131" s="126"/>
      <c r="FZ131" s="126"/>
      <c r="GA131" s="123"/>
      <c r="GB131" s="126"/>
      <c r="GC131" s="126"/>
      <c r="GD131" s="126"/>
      <c r="GV131" s="123"/>
    </row>
    <row r="132" s="126" customFormat="1" spans="2:219">
      <c r="B132" s="123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3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  <c r="CJ132" s="126"/>
      <c r="CK132" s="126"/>
      <c r="CL132" s="126"/>
      <c r="CM132" s="126"/>
      <c r="CN132" s="126"/>
      <c r="CO132" s="126"/>
      <c r="CP132" s="126"/>
      <c r="CQ132" s="126"/>
      <c r="CR132" s="126"/>
      <c r="CS132" s="126"/>
      <c r="CT132" s="126"/>
      <c r="CU132" s="126"/>
      <c r="CV132" s="126"/>
      <c r="CW132" s="126"/>
      <c r="CX132" s="126"/>
      <c r="CY132" s="126"/>
      <c r="CZ132" s="126"/>
      <c r="DA132" s="126"/>
      <c r="DB132" s="126"/>
      <c r="DC132" s="126"/>
      <c r="DD132" s="126"/>
      <c r="DE132" s="126"/>
      <c r="DF132" s="126"/>
      <c r="DG132" s="126"/>
      <c r="DH132" s="126"/>
      <c r="DI132" s="126"/>
      <c r="DJ132" s="126"/>
      <c r="DK132" s="126"/>
      <c r="DL132" s="126"/>
      <c r="DM132" s="126"/>
      <c r="DN132" s="126"/>
      <c r="DO132" s="126"/>
      <c r="DP132" s="126"/>
      <c r="DQ132" s="126"/>
      <c r="DR132" s="126"/>
      <c r="DS132" s="210"/>
      <c r="DT132" s="126"/>
      <c r="DU132" s="126"/>
      <c r="DV132" s="126"/>
      <c r="DW132" s="126"/>
      <c r="DX132" s="126"/>
      <c r="DY132" s="126"/>
      <c r="DZ132" s="126"/>
      <c r="EA132" s="126"/>
      <c r="EB132" s="126"/>
      <c r="EC132" s="126"/>
      <c r="ED132" s="126"/>
      <c r="EE132" s="126"/>
      <c r="EF132" s="126"/>
      <c r="EG132" s="126"/>
      <c r="EH132" s="126"/>
      <c r="EI132" s="126"/>
      <c r="EJ132" s="126"/>
      <c r="EK132" s="126"/>
      <c r="EL132" s="126"/>
      <c r="EM132" s="126"/>
      <c r="EN132" s="126"/>
      <c r="EO132" s="126"/>
      <c r="EP132" s="126"/>
      <c r="EQ132" s="126"/>
      <c r="ER132" s="126"/>
      <c r="ES132" s="126"/>
      <c r="ET132" s="126"/>
      <c r="EU132" s="126"/>
      <c r="EV132" s="126"/>
      <c r="EW132" s="126"/>
      <c r="EX132" s="126"/>
      <c r="EY132" s="126"/>
      <c r="EZ132" s="126"/>
      <c r="FA132" s="126"/>
      <c r="FB132" s="126"/>
      <c r="FC132" s="126"/>
      <c r="FD132" s="126"/>
      <c r="FE132" s="126"/>
      <c r="FF132" s="126"/>
      <c r="FG132" s="126"/>
      <c r="FH132" s="126"/>
      <c r="FI132" s="126"/>
      <c r="FJ132" s="126"/>
      <c r="FK132" s="126"/>
      <c r="FL132" s="126"/>
      <c r="FM132" s="126"/>
      <c r="FN132" s="126"/>
      <c r="FO132" s="126"/>
      <c r="FP132" s="126"/>
      <c r="FQ132" s="126"/>
      <c r="FR132" s="126"/>
      <c r="FS132" s="126"/>
      <c r="FT132" s="126"/>
      <c r="FU132" s="126"/>
      <c r="FV132" s="126"/>
      <c r="FW132" s="126"/>
      <c r="FX132" s="126"/>
      <c r="FY132" s="126"/>
      <c r="FZ132" s="126"/>
      <c r="GA132" s="123"/>
      <c r="GB132" s="126"/>
      <c r="GC132" s="126"/>
      <c r="GD132" s="126"/>
      <c r="GV132" s="123"/>
    </row>
    <row r="133" s="126" customFormat="1" spans="2:219">
      <c r="B133" s="123"/>
      <c r="C133" s="126"/>
      <c r="D133" s="126"/>
      <c r="E133" s="126"/>
      <c r="F133" s="126"/>
      <c r="G133" s="126"/>
      <c r="H133" s="126"/>
      <c r="I133" s="126"/>
      <c r="J133" s="126"/>
      <c r="K133" s="126"/>
      <c r="L133" s="123"/>
      <c r="M133" s="126"/>
      <c r="N133" s="126"/>
      <c r="O133" s="126"/>
      <c r="P133" s="126"/>
      <c r="Q133" s="126"/>
      <c r="R133" s="123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  <c r="CJ133" s="126"/>
      <c r="CK133" s="126"/>
      <c r="CL133" s="126"/>
      <c r="CM133" s="126"/>
      <c r="CN133" s="126"/>
      <c r="CO133" s="126"/>
      <c r="CP133" s="126"/>
      <c r="CQ133" s="126"/>
      <c r="CR133" s="126"/>
      <c r="CS133" s="126"/>
      <c r="CT133" s="126"/>
      <c r="CU133" s="126"/>
      <c r="CV133" s="126"/>
      <c r="CW133" s="126"/>
      <c r="CX133" s="126"/>
      <c r="CY133" s="126"/>
      <c r="CZ133" s="126"/>
      <c r="DA133" s="126"/>
      <c r="DB133" s="126"/>
      <c r="DC133" s="126"/>
      <c r="DD133" s="126"/>
      <c r="DE133" s="126"/>
      <c r="DF133" s="126"/>
      <c r="DG133" s="126"/>
      <c r="DH133" s="126"/>
      <c r="DI133" s="126"/>
      <c r="DJ133" s="126"/>
      <c r="DK133" s="126"/>
      <c r="DL133" s="126"/>
      <c r="DM133" s="126"/>
      <c r="DN133" s="126"/>
      <c r="DO133" s="126"/>
      <c r="DP133" s="126"/>
      <c r="DQ133" s="126"/>
      <c r="DR133" s="126"/>
      <c r="DS133" s="210"/>
      <c r="DT133" s="126"/>
      <c r="DU133" s="126"/>
      <c r="DV133" s="126"/>
      <c r="DW133" s="126"/>
      <c r="DX133" s="126"/>
      <c r="DY133" s="126"/>
      <c r="DZ133" s="126"/>
      <c r="EA133" s="126"/>
      <c r="EB133" s="126"/>
      <c r="EC133" s="126"/>
      <c r="ED133" s="126"/>
      <c r="EE133" s="126"/>
      <c r="EF133" s="126"/>
      <c r="EG133" s="126"/>
      <c r="EH133" s="126"/>
      <c r="EI133" s="126"/>
      <c r="EJ133" s="126"/>
      <c r="EK133" s="126"/>
      <c r="EL133" s="126"/>
      <c r="EM133" s="126"/>
      <c r="EN133" s="126"/>
      <c r="EO133" s="126"/>
      <c r="EP133" s="126"/>
      <c r="EQ133" s="126"/>
      <c r="ER133" s="126"/>
      <c r="ES133" s="126"/>
      <c r="ET133" s="126"/>
      <c r="EU133" s="126"/>
      <c r="EV133" s="126"/>
      <c r="EW133" s="126"/>
      <c r="EX133" s="126"/>
      <c r="EY133" s="126"/>
      <c r="EZ133" s="126"/>
      <c r="FA133" s="126"/>
      <c r="FB133" s="126"/>
      <c r="FC133" s="126"/>
      <c r="FD133" s="126"/>
      <c r="FE133" s="126"/>
      <c r="FF133" s="126"/>
      <c r="FG133" s="126"/>
      <c r="FH133" s="126"/>
      <c r="FI133" s="126"/>
      <c r="FJ133" s="126"/>
      <c r="FK133" s="126"/>
      <c r="FL133" s="126"/>
      <c r="FM133" s="126"/>
      <c r="FN133" s="126"/>
      <c r="FO133" s="126"/>
      <c r="FP133" s="126"/>
      <c r="FQ133" s="126"/>
      <c r="FR133" s="126"/>
      <c r="FS133" s="126"/>
      <c r="FT133" s="126"/>
      <c r="FU133" s="126"/>
      <c r="FV133" s="126"/>
      <c r="FW133" s="126"/>
      <c r="FX133" s="126"/>
      <c r="FY133" s="126"/>
      <c r="FZ133" s="126"/>
      <c r="GA133" s="123"/>
      <c r="GB133" s="126"/>
      <c r="GC133" s="126"/>
      <c r="GD133" s="126"/>
      <c r="GV133" s="123"/>
      <c r="GW133" s="123"/>
      <c r="GX133" s="123"/>
      <c r="GY133" s="123"/>
      <c r="GZ133" s="123"/>
      <c r="HA133" s="123"/>
      <c r="HB133" s="123"/>
      <c r="HC133" s="123"/>
      <c r="HD133" s="123"/>
      <c r="HE133" s="123"/>
      <c r="HF133" s="123"/>
      <c r="HG133" s="123"/>
      <c r="HH133" s="123"/>
      <c r="HI133" s="123"/>
      <c r="HJ133" s="123"/>
      <c r="HK133" s="123"/>
    </row>
    <row r="134" s="126" customFormat="1" spans="2:219">
      <c r="B134" s="123"/>
      <c r="C134" s="126"/>
      <c r="D134" s="126"/>
      <c r="E134" s="126"/>
      <c r="F134" s="126"/>
      <c r="G134" s="126"/>
      <c r="H134" s="126"/>
      <c r="I134" s="126"/>
      <c r="J134" s="126"/>
      <c r="K134" s="126"/>
      <c r="L134" s="123"/>
      <c r="M134" s="126"/>
      <c r="N134" s="126"/>
      <c r="O134" s="126"/>
      <c r="P134" s="126"/>
      <c r="Q134" s="126"/>
      <c r="R134" s="123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  <c r="AP134" s="126"/>
      <c r="AQ134" s="126"/>
      <c r="AR134" s="126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  <c r="CJ134" s="126"/>
      <c r="CK134" s="126"/>
      <c r="CL134" s="126"/>
      <c r="CM134" s="126"/>
      <c r="CN134" s="126"/>
      <c r="CO134" s="126"/>
      <c r="CP134" s="126"/>
      <c r="CQ134" s="126"/>
      <c r="CR134" s="126"/>
      <c r="CS134" s="126"/>
      <c r="CT134" s="126"/>
      <c r="CU134" s="126"/>
      <c r="CV134" s="126"/>
      <c r="CW134" s="126"/>
      <c r="CX134" s="126"/>
      <c r="CY134" s="126"/>
      <c r="CZ134" s="126"/>
      <c r="DA134" s="126"/>
      <c r="DB134" s="126"/>
      <c r="DC134" s="126"/>
      <c r="DD134" s="126"/>
      <c r="DE134" s="126"/>
      <c r="DF134" s="126"/>
      <c r="DG134" s="126"/>
      <c r="DH134" s="126"/>
      <c r="DI134" s="126"/>
      <c r="DJ134" s="126"/>
      <c r="DK134" s="126"/>
      <c r="DL134" s="126"/>
      <c r="DM134" s="126"/>
      <c r="DN134" s="126"/>
      <c r="DO134" s="126"/>
      <c r="DP134" s="126"/>
      <c r="DQ134" s="126"/>
      <c r="DR134" s="126"/>
      <c r="DS134" s="210"/>
      <c r="DT134" s="126"/>
      <c r="DU134" s="126"/>
      <c r="DV134" s="126"/>
      <c r="DW134" s="126"/>
      <c r="DX134" s="126"/>
      <c r="DY134" s="126"/>
      <c r="DZ134" s="126"/>
      <c r="EA134" s="126"/>
      <c r="EB134" s="126"/>
      <c r="EC134" s="126"/>
      <c r="ED134" s="126"/>
      <c r="EE134" s="126"/>
      <c r="EF134" s="126"/>
      <c r="EG134" s="126"/>
      <c r="EH134" s="126"/>
      <c r="EI134" s="126"/>
      <c r="EJ134" s="126"/>
      <c r="EK134" s="126"/>
      <c r="EL134" s="126"/>
      <c r="EM134" s="126"/>
      <c r="EN134" s="126"/>
      <c r="EO134" s="126"/>
      <c r="EP134" s="126"/>
      <c r="EQ134" s="126"/>
      <c r="ER134" s="126"/>
      <c r="ES134" s="126"/>
      <c r="ET134" s="126"/>
      <c r="EU134" s="126"/>
      <c r="EV134" s="126"/>
      <c r="EW134" s="126"/>
      <c r="EX134" s="126"/>
      <c r="EY134" s="126"/>
      <c r="EZ134" s="126"/>
      <c r="FA134" s="126"/>
      <c r="FB134" s="126"/>
      <c r="FC134" s="126"/>
      <c r="FD134" s="126"/>
      <c r="FE134" s="126"/>
      <c r="FF134" s="126"/>
      <c r="FG134" s="126"/>
      <c r="FH134" s="126"/>
      <c r="FI134" s="126"/>
      <c r="FJ134" s="126"/>
      <c r="FK134" s="126"/>
      <c r="FL134" s="126"/>
      <c r="FM134" s="126"/>
      <c r="FN134" s="126"/>
      <c r="FO134" s="126"/>
      <c r="FP134" s="126"/>
      <c r="FQ134" s="126"/>
      <c r="FR134" s="126"/>
      <c r="FS134" s="126"/>
      <c r="FT134" s="126"/>
      <c r="FU134" s="126"/>
      <c r="FV134" s="126"/>
      <c r="FW134" s="126"/>
      <c r="FX134" s="126"/>
      <c r="FY134" s="126"/>
      <c r="FZ134" s="126"/>
      <c r="GA134" s="123"/>
      <c r="GB134" s="126"/>
      <c r="GC134" s="126"/>
      <c r="GD134" s="126"/>
      <c r="GV134" s="123"/>
      <c r="GW134" s="123"/>
      <c r="GX134" s="123"/>
      <c r="GY134" s="123"/>
      <c r="GZ134" s="123"/>
      <c r="HA134" s="123"/>
      <c r="HK134" s="123"/>
    </row>
    <row r="135" s="126" customFormat="1" spans="2:219">
      <c r="B135" s="123"/>
      <c r="C135" s="126"/>
      <c r="D135" s="126"/>
      <c r="E135" s="126"/>
      <c r="F135" s="126"/>
      <c r="G135" s="126"/>
      <c r="H135" s="126"/>
      <c r="I135" s="126"/>
      <c r="J135" s="126"/>
      <c r="K135" s="126"/>
      <c r="L135" s="123"/>
      <c r="M135" s="126"/>
      <c r="N135" s="126"/>
      <c r="O135" s="126"/>
      <c r="P135" s="126"/>
      <c r="Q135" s="126"/>
      <c r="R135" s="123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3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  <c r="CJ135" s="126"/>
      <c r="CK135" s="126"/>
      <c r="CL135" s="126"/>
      <c r="CM135" s="126"/>
      <c r="CN135" s="126"/>
      <c r="CO135" s="126"/>
      <c r="CP135" s="126"/>
      <c r="CQ135" s="126"/>
      <c r="CR135" s="126"/>
      <c r="CS135" s="126"/>
      <c r="CT135" s="126"/>
      <c r="CU135" s="126"/>
      <c r="CV135" s="126"/>
      <c r="CW135" s="126"/>
      <c r="CX135" s="126"/>
      <c r="CY135" s="126"/>
      <c r="CZ135" s="126"/>
      <c r="DA135" s="126"/>
      <c r="DB135" s="126"/>
      <c r="DC135" s="126"/>
      <c r="DD135" s="126"/>
      <c r="DE135" s="126"/>
      <c r="DF135" s="126"/>
      <c r="DG135" s="126"/>
      <c r="DH135" s="126"/>
      <c r="DI135" s="126"/>
      <c r="DJ135" s="126"/>
      <c r="DK135" s="126"/>
      <c r="DL135" s="126"/>
      <c r="DM135" s="126"/>
      <c r="DN135" s="126"/>
      <c r="DO135" s="126"/>
      <c r="DP135" s="126"/>
      <c r="DQ135" s="126"/>
      <c r="DR135" s="126"/>
      <c r="DS135" s="210"/>
      <c r="DT135" s="126"/>
      <c r="DU135" s="126"/>
      <c r="DV135" s="126"/>
      <c r="DW135" s="126"/>
      <c r="DX135" s="126"/>
      <c r="DY135" s="126"/>
      <c r="DZ135" s="126"/>
      <c r="EA135" s="126"/>
      <c r="EB135" s="126"/>
      <c r="EC135" s="126"/>
      <c r="ED135" s="126"/>
      <c r="EE135" s="126"/>
      <c r="EF135" s="126"/>
      <c r="EG135" s="126"/>
      <c r="EH135" s="126"/>
      <c r="EI135" s="126"/>
      <c r="EJ135" s="126"/>
      <c r="EK135" s="126"/>
      <c r="EL135" s="126"/>
      <c r="EM135" s="126"/>
      <c r="EN135" s="126"/>
      <c r="EO135" s="126"/>
      <c r="EP135" s="126"/>
      <c r="EQ135" s="126"/>
      <c r="ER135" s="126"/>
      <c r="ES135" s="126"/>
      <c r="ET135" s="126"/>
      <c r="EU135" s="126"/>
      <c r="EV135" s="126"/>
      <c r="EW135" s="126"/>
      <c r="EX135" s="126"/>
      <c r="EY135" s="126"/>
      <c r="EZ135" s="126"/>
      <c r="FA135" s="126"/>
      <c r="FB135" s="126"/>
      <c r="FC135" s="126"/>
      <c r="FD135" s="126"/>
      <c r="FE135" s="126"/>
      <c r="FF135" s="126"/>
      <c r="FG135" s="126"/>
      <c r="FH135" s="126"/>
      <c r="FI135" s="126"/>
      <c r="FJ135" s="126"/>
      <c r="FK135" s="126"/>
      <c r="FL135" s="126"/>
      <c r="FM135" s="126"/>
      <c r="FN135" s="126"/>
      <c r="FO135" s="126"/>
      <c r="FP135" s="126"/>
      <c r="FQ135" s="126"/>
      <c r="FR135" s="126"/>
      <c r="FS135" s="126"/>
      <c r="FT135" s="126"/>
      <c r="FU135" s="126"/>
      <c r="FV135" s="126"/>
      <c r="FW135" s="126"/>
      <c r="FX135" s="126"/>
      <c r="FY135" s="126"/>
      <c r="FZ135" s="126"/>
      <c r="GA135" s="123"/>
      <c r="GB135" s="126"/>
      <c r="GC135" s="126"/>
      <c r="GD135" s="126"/>
      <c r="GQ135" s="123"/>
      <c r="GV135" s="123"/>
      <c r="GW135" s="123"/>
      <c r="GX135" s="123"/>
      <c r="GY135" s="123"/>
      <c r="GZ135" s="123"/>
      <c r="HA135" s="123"/>
      <c r="HB135" s="123"/>
      <c r="HC135" s="123"/>
      <c r="HD135" s="123"/>
      <c r="HE135" s="123"/>
      <c r="HF135" s="123"/>
      <c r="HG135" s="123"/>
      <c r="HH135" s="123"/>
      <c r="HI135" s="123"/>
      <c r="HJ135" s="123"/>
      <c r="HK135" s="123"/>
    </row>
    <row r="136" s="126" customFormat="1" spans="2:219">
      <c r="B136" s="123"/>
      <c r="C136" s="126"/>
      <c r="D136" s="126"/>
      <c r="E136" s="126"/>
      <c r="F136" s="126"/>
      <c r="G136" s="126"/>
      <c r="H136" s="126"/>
      <c r="I136" s="126"/>
      <c r="J136" s="126"/>
      <c r="K136" s="126"/>
      <c r="L136" s="123"/>
      <c r="M136" s="126"/>
      <c r="N136" s="126"/>
      <c r="O136" s="126"/>
      <c r="P136" s="126"/>
      <c r="Q136" s="126"/>
      <c r="R136" s="123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  <c r="AQ136" s="126"/>
      <c r="AR136" s="126"/>
      <c r="AS136" s="126"/>
      <c r="AT136" s="126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  <c r="CJ136" s="126"/>
      <c r="CK136" s="126"/>
      <c r="CL136" s="126"/>
      <c r="CM136" s="126"/>
      <c r="CN136" s="126"/>
      <c r="CO136" s="126"/>
      <c r="CP136" s="126"/>
      <c r="CQ136" s="126"/>
      <c r="CR136" s="126"/>
      <c r="CS136" s="126"/>
      <c r="CT136" s="126"/>
      <c r="CU136" s="126"/>
      <c r="CV136" s="126"/>
      <c r="CW136" s="126"/>
      <c r="CX136" s="126"/>
      <c r="CY136" s="126"/>
      <c r="CZ136" s="126"/>
      <c r="DA136" s="126"/>
      <c r="DB136" s="126"/>
      <c r="DC136" s="126"/>
      <c r="DD136" s="126"/>
      <c r="DE136" s="126"/>
      <c r="DF136" s="126"/>
      <c r="DG136" s="126"/>
      <c r="DH136" s="126"/>
      <c r="DI136" s="126"/>
      <c r="DJ136" s="126"/>
      <c r="DK136" s="126"/>
      <c r="DL136" s="126"/>
      <c r="DM136" s="126"/>
      <c r="DN136" s="126"/>
      <c r="DO136" s="126"/>
      <c r="DP136" s="126"/>
      <c r="DQ136" s="126"/>
      <c r="DR136" s="126"/>
      <c r="DS136" s="210"/>
      <c r="DT136" s="126"/>
      <c r="DU136" s="126"/>
      <c r="DV136" s="126"/>
      <c r="DW136" s="126"/>
      <c r="DX136" s="126"/>
      <c r="DY136" s="126"/>
      <c r="DZ136" s="126"/>
      <c r="EA136" s="126"/>
      <c r="EB136" s="126"/>
      <c r="EC136" s="126"/>
      <c r="ED136" s="126"/>
      <c r="EE136" s="126"/>
      <c r="EF136" s="126"/>
      <c r="EG136" s="126"/>
      <c r="EH136" s="126"/>
      <c r="EI136" s="126"/>
      <c r="EJ136" s="126"/>
      <c r="EK136" s="126"/>
      <c r="EL136" s="126"/>
      <c r="EM136" s="126"/>
      <c r="EN136" s="126"/>
      <c r="EO136" s="126"/>
      <c r="EP136" s="126"/>
      <c r="EQ136" s="126"/>
      <c r="ER136" s="126"/>
      <c r="ES136" s="126"/>
      <c r="ET136" s="126"/>
      <c r="EU136" s="126"/>
      <c r="EV136" s="126"/>
      <c r="EW136" s="126"/>
      <c r="EX136" s="126"/>
      <c r="EY136" s="126"/>
      <c r="EZ136" s="126"/>
      <c r="FA136" s="126"/>
      <c r="FB136" s="126"/>
      <c r="FC136" s="126"/>
      <c r="FD136" s="126"/>
      <c r="FE136" s="126"/>
      <c r="FF136" s="126"/>
      <c r="FG136" s="126"/>
      <c r="FH136" s="126"/>
      <c r="FI136" s="126"/>
      <c r="FJ136" s="126"/>
      <c r="FK136" s="126"/>
      <c r="FL136" s="126"/>
      <c r="FM136" s="126"/>
      <c r="FN136" s="126"/>
      <c r="FO136" s="126"/>
      <c r="FP136" s="126"/>
      <c r="FQ136" s="126"/>
      <c r="FR136" s="126"/>
      <c r="FS136" s="126"/>
      <c r="FT136" s="126"/>
      <c r="FU136" s="126"/>
      <c r="FV136" s="126"/>
      <c r="FW136" s="126"/>
      <c r="FX136" s="126"/>
      <c r="FY136" s="126"/>
      <c r="FZ136" s="126"/>
      <c r="GA136" s="123"/>
      <c r="GB136" s="126"/>
      <c r="GC136" s="126"/>
      <c r="GD136" s="126"/>
      <c r="HF136" s="123"/>
      <c r="HG136" s="123"/>
      <c r="HH136" s="123"/>
      <c r="HI136" s="123"/>
      <c r="HJ136" s="123"/>
      <c r="HK136" s="123"/>
    </row>
    <row r="137" s="126" customFormat="1" spans="2:219">
      <c r="B137" s="123"/>
      <c r="C137" s="126"/>
      <c r="D137" s="126"/>
      <c r="E137" s="126"/>
      <c r="F137" s="126"/>
      <c r="G137" s="126"/>
      <c r="H137" s="126"/>
      <c r="I137" s="126"/>
      <c r="J137" s="126"/>
      <c r="K137" s="126"/>
      <c r="L137" s="123"/>
      <c r="M137" s="126"/>
      <c r="N137" s="126"/>
      <c r="O137" s="126"/>
      <c r="P137" s="126"/>
      <c r="Q137" s="126"/>
      <c r="R137" s="123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  <c r="BC137" s="126"/>
      <c r="BD137" s="126"/>
      <c r="BE137" s="126"/>
      <c r="BF137" s="126"/>
      <c r="BG137" s="126"/>
      <c r="BH137" s="126"/>
      <c r="BI137" s="126"/>
      <c r="BJ137" s="126"/>
      <c r="BK137" s="126"/>
      <c r="BL137" s="126"/>
      <c r="BM137" s="126"/>
      <c r="BN137" s="126"/>
      <c r="BO137" s="126"/>
      <c r="BP137" s="126"/>
      <c r="BQ137" s="126"/>
      <c r="BR137" s="126"/>
      <c r="BS137" s="126"/>
      <c r="BT137" s="126"/>
      <c r="BU137" s="126"/>
      <c r="BV137" s="126"/>
      <c r="BW137" s="126"/>
      <c r="BX137" s="126"/>
      <c r="BY137" s="126"/>
      <c r="BZ137" s="126"/>
      <c r="CA137" s="126"/>
      <c r="CB137" s="126"/>
      <c r="CC137" s="126"/>
      <c r="CD137" s="126"/>
      <c r="CE137" s="126"/>
      <c r="CF137" s="126"/>
      <c r="CG137" s="126"/>
      <c r="CH137" s="126"/>
      <c r="CI137" s="126"/>
      <c r="CJ137" s="126"/>
      <c r="CK137" s="126"/>
      <c r="CL137" s="126"/>
      <c r="CM137" s="126"/>
      <c r="CN137" s="126"/>
      <c r="CO137" s="126"/>
      <c r="CP137" s="126"/>
      <c r="CQ137" s="126"/>
      <c r="CR137" s="126"/>
      <c r="CS137" s="126"/>
      <c r="CT137" s="126"/>
      <c r="CU137" s="126"/>
      <c r="CV137" s="126"/>
      <c r="CW137" s="126"/>
      <c r="CX137" s="126"/>
      <c r="CY137" s="126"/>
      <c r="CZ137" s="126"/>
      <c r="DA137" s="126"/>
      <c r="DB137" s="126"/>
      <c r="DC137" s="126"/>
      <c r="DD137" s="126"/>
      <c r="DE137" s="126"/>
      <c r="DF137" s="126"/>
      <c r="DG137" s="126"/>
      <c r="DH137" s="126"/>
      <c r="DI137" s="126"/>
      <c r="DJ137" s="126"/>
      <c r="DK137" s="126"/>
      <c r="DL137" s="126"/>
      <c r="DM137" s="126"/>
      <c r="DN137" s="126"/>
      <c r="DO137" s="126"/>
      <c r="DP137" s="126"/>
      <c r="DQ137" s="126"/>
      <c r="DR137" s="126"/>
      <c r="DS137" s="210"/>
      <c r="DT137" s="126"/>
      <c r="DU137" s="126"/>
      <c r="DV137" s="126"/>
      <c r="DW137" s="126"/>
      <c r="DX137" s="126"/>
      <c r="DY137" s="126"/>
      <c r="DZ137" s="126"/>
      <c r="EA137" s="126"/>
      <c r="EB137" s="126"/>
      <c r="EC137" s="126"/>
      <c r="ED137" s="126"/>
      <c r="EE137" s="126"/>
      <c r="EF137" s="126"/>
      <c r="EG137" s="126"/>
      <c r="EH137" s="126"/>
      <c r="EI137" s="126"/>
      <c r="EJ137" s="126"/>
      <c r="EK137" s="126"/>
      <c r="EL137" s="126"/>
      <c r="EM137" s="126"/>
      <c r="EN137" s="126"/>
      <c r="EO137" s="126"/>
      <c r="EP137" s="126"/>
      <c r="EQ137" s="126"/>
      <c r="ER137" s="126"/>
      <c r="ES137" s="126"/>
      <c r="ET137" s="126"/>
      <c r="EU137" s="126"/>
      <c r="EV137" s="126"/>
      <c r="EW137" s="126"/>
      <c r="EX137" s="126"/>
      <c r="EY137" s="126"/>
      <c r="EZ137" s="126"/>
      <c r="FA137" s="126"/>
      <c r="FB137" s="126"/>
      <c r="FC137" s="126"/>
      <c r="FD137" s="126"/>
      <c r="FE137" s="126"/>
      <c r="FF137" s="126"/>
      <c r="FG137" s="126"/>
      <c r="FH137" s="126"/>
      <c r="FI137" s="126"/>
      <c r="FJ137" s="126"/>
      <c r="FK137" s="126"/>
      <c r="FL137" s="126"/>
      <c r="FM137" s="126"/>
      <c r="FN137" s="126"/>
      <c r="FO137" s="126"/>
      <c r="FP137" s="126"/>
      <c r="FQ137" s="126"/>
      <c r="FR137" s="126"/>
      <c r="FS137" s="126"/>
      <c r="FT137" s="126"/>
      <c r="FU137" s="126"/>
      <c r="FV137" s="126"/>
      <c r="FW137" s="126"/>
      <c r="FX137" s="126"/>
      <c r="FY137" s="126"/>
      <c r="FZ137" s="126"/>
      <c r="GA137" s="123"/>
      <c r="GB137" s="126"/>
      <c r="GC137" s="126"/>
      <c r="GD137" s="126"/>
      <c r="HA137" s="123"/>
      <c r="HK137" s="123"/>
    </row>
    <row r="138" s="126" customFormat="1" spans="2:219">
      <c r="B138" s="123"/>
      <c r="C138" s="126"/>
      <c r="D138" s="126"/>
      <c r="E138" s="126"/>
      <c r="F138" s="126"/>
      <c r="G138" s="126"/>
      <c r="H138" s="126"/>
      <c r="I138" s="126"/>
      <c r="J138" s="126"/>
      <c r="K138" s="126"/>
      <c r="L138" s="123"/>
      <c r="M138" s="126"/>
      <c r="N138" s="126"/>
      <c r="O138" s="126"/>
      <c r="P138" s="126"/>
      <c r="Q138" s="126"/>
      <c r="R138" s="123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  <c r="AP138" s="126"/>
      <c r="AQ138" s="126"/>
      <c r="AR138" s="126"/>
      <c r="AS138" s="126"/>
      <c r="AT138" s="126"/>
      <c r="AU138" s="126"/>
      <c r="AV138" s="126"/>
      <c r="AW138" s="126"/>
      <c r="AX138" s="126"/>
      <c r="AY138" s="126"/>
      <c r="AZ138" s="126"/>
      <c r="BA138" s="126"/>
      <c r="BB138" s="126"/>
      <c r="BC138" s="126"/>
      <c r="BD138" s="126"/>
      <c r="BE138" s="126"/>
      <c r="BF138" s="126"/>
      <c r="BG138" s="126"/>
      <c r="BH138" s="126"/>
      <c r="BI138" s="126"/>
      <c r="BJ138" s="126"/>
      <c r="BK138" s="126"/>
      <c r="BL138" s="126"/>
      <c r="BM138" s="126"/>
      <c r="BN138" s="126"/>
      <c r="BO138" s="126"/>
      <c r="BP138" s="126"/>
      <c r="BQ138" s="126"/>
      <c r="BR138" s="126"/>
      <c r="BS138" s="126"/>
      <c r="BT138" s="126"/>
      <c r="BU138" s="126"/>
      <c r="BV138" s="126"/>
      <c r="BW138" s="126"/>
      <c r="BX138" s="126"/>
      <c r="BY138" s="126"/>
      <c r="BZ138" s="126"/>
      <c r="CA138" s="126"/>
      <c r="CB138" s="126"/>
      <c r="CC138" s="126"/>
      <c r="CD138" s="126"/>
      <c r="CE138" s="126"/>
      <c r="CF138" s="126"/>
      <c r="CG138" s="126"/>
      <c r="CH138" s="126"/>
      <c r="CI138" s="126"/>
      <c r="CJ138" s="126"/>
      <c r="CK138" s="126"/>
      <c r="CL138" s="126"/>
      <c r="CM138" s="126"/>
      <c r="CN138" s="126"/>
      <c r="CO138" s="126"/>
      <c r="CP138" s="126"/>
      <c r="CQ138" s="126"/>
      <c r="CR138" s="126"/>
      <c r="CS138" s="126"/>
      <c r="CT138" s="126"/>
      <c r="CU138" s="126"/>
      <c r="CV138" s="126"/>
      <c r="CW138" s="126"/>
      <c r="CX138" s="126"/>
      <c r="CY138" s="126"/>
      <c r="CZ138" s="126"/>
      <c r="DA138" s="126"/>
      <c r="DB138" s="126"/>
      <c r="DC138" s="126"/>
      <c r="DD138" s="126"/>
      <c r="DE138" s="126"/>
      <c r="DF138" s="126"/>
      <c r="DG138" s="126"/>
      <c r="DH138" s="126"/>
      <c r="DI138" s="126"/>
      <c r="DJ138" s="126"/>
      <c r="DK138" s="126"/>
      <c r="DL138" s="126"/>
      <c r="DM138" s="126"/>
      <c r="DN138" s="126"/>
      <c r="DO138" s="126"/>
      <c r="DP138" s="126"/>
      <c r="DQ138" s="126"/>
      <c r="DR138" s="126"/>
      <c r="DS138" s="210"/>
      <c r="DT138" s="126"/>
      <c r="DU138" s="126"/>
      <c r="DV138" s="126"/>
      <c r="DW138" s="126"/>
      <c r="DX138" s="126"/>
      <c r="DY138" s="126"/>
      <c r="DZ138" s="126"/>
      <c r="EA138" s="126"/>
      <c r="EB138" s="126"/>
      <c r="EC138" s="126"/>
      <c r="ED138" s="126"/>
      <c r="EE138" s="126"/>
      <c r="EF138" s="126"/>
      <c r="EG138" s="126"/>
      <c r="EH138" s="126"/>
      <c r="EI138" s="126"/>
      <c r="EJ138" s="126"/>
      <c r="EK138" s="126"/>
      <c r="EL138" s="126"/>
      <c r="EM138" s="126"/>
      <c r="EN138" s="126"/>
      <c r="EO138" s="126"/>
      <c r="EP138" s="126"/>
      <c r="EQ138" s="126"/>
      <c r="ER138" s="126"/>
      <c r="ES138" s="126"/>
      <c r="ET138" s="126"/>
      <c r="EU138" s="126"/>
      <c r="EV138" s="126"/>
      <c r="EW138" s="126"/>
      <c r="EX138" s="126"/>
      <c r="EY138" s="126"/>
      <c r="EZ138" s="126"/>
      <c r="FA138" s="126"/>
      <c r="FB138" s="126"/>
      <c r="FC138" s="126"/>
      <c r="FD138" s="126"/>
      <c r="FE138" s="126"/>
      <c r="FF138" s="126"/>
      <c r="FG138" s="126"/>
      <c r="FH138" s="126"/>
      <c r="FI138" s="126"/>
      <c r="FJ138" s="126"/>
      <c r="FK138" s="126"/>
      <c r="FL138" s="126"/>
      <c r="FM138" s="126"/>
      <c r="FN138" s="126"/>
      <c r="FO138" s="126"/>
      <c r="FP138" s="126"/>
      <c r="FQ138" s="126"/>
      <c r="FR138" s="126"/>
      <c r="FS138" s="126"/>
      <c r="FT138" s="126"/>
      <c r="FU138" s="126"/>
      <c r="FV138" s="126"/>
      <c r="FW138" s="126"/>
      <c r="FX138" s="126"/>
      <c r="FY138" s="126"/>
      <c r="FZ138" s="126"/>
      <c r="GA138" s="123"/>
      <c r="GB138" s="126"/>
      <c r="GC138" s="126"/>
      <c r="GD138" s="126"/>
      <c r="HA138" s="123"/>
      <c r="HB138" s="123"/>
      <c r="HC138" s="123"/>
      <c r="HD138" s="123"/>
      <c r="HE138" s="123"/>
      <c r="HF138" s="123"/>
      <c r="HG138" s="123"/>
      <c r="HH138" s="123"/>
      <c r="HI138" s="123"/>
      <c r="HJ138" s="123"/>
      <c r="HK138" s="123"/>
    </row>
    <row r="139" s="126" customFormat="1" spans="2:219">
      <c r="B139" s="123"/>
      <c r="C139" s="126"/>
      <c r="D139" s="126"/>
      <c r="E139" s="126"/>
      <c r="F139" s="126"/>
      <c r="G139" s="126"/>
      <c r="H139" s="126"/>
      <c r="I139" s="126"/>
      <c r="J139" s="126"/>
      <c r="K139" s="126"/>
      <c r="L139" s="123"/>
      <c r="M139" s="126"/>
      <c r="N139" s="126"/>
      <c r="O139" s="126"/>
      <c r="P139" s="126"/>
      <c r="Q139" s="126"/>
      <c r="R139" s="123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  <c r="AP139" s="126"/>
      <c r="AQ139" s="126"/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  <c r="BC139" s="126"/>
      <c r="BD139" s="126"/>
      <c r="BE139" s="126"/>
      <c r="BF139" s="126"/>
      <c r="BG139" s="126"/>
      <c r="BH139" s="126"/>
      <c r="BI139" s="126"/>
      <c r="BJ139" s="126"/>
      <c r="BK139" s="126"/>
      <c r="BL139" s="126"/>
      <c r="BM139" s="123"/>
      <c r="BN139" s="126"/>
      <c r="BO139" s="126"/>
      <c r="BP139" s="126"/>
      <c r="BQ139" s="126"/>
      <c r="BR139" s="126"/>
      <c r="BS139" s="126"/>
      <c r="BT139" s="126"/>
      <c r="BU139" s="126"/>
      <c r="BV139" s="126"/>
      <c r="BW139" s="126"/>
      <c r="BX139" s="126"/>
      <c r="BY139" s="126"/>
      <c r="BZ139" s="126"/>
      <c r="CA139" s="126"/>
      <c r="CB139" s="126"/>
      <c r="CC139" s="126"/>
      <c r="CD139" s="126"/>
      <c r="CE139" s="126"/>
      <c r="CF139" s="126"/>
      <c r="CG139" s="126"/>
      <c r="CH139" s="126"/>
      <c r="CI139" s="126"/>
      <c r="CJ139" s="126"/>
      <c r="CK139" s="126"/>
      <c r="CL139" s="126"/>
      <c r="CM139" s="126"/>
      <c r="CN139" s="126"/>
      <c r="CO139" s="126"/>
      <c r="CP139" s="126"/>
      <c r="CQ139" s="126"/>
      <c r="CR139" s="126"/>
      <c r="CS139" s="126"/>
      <c r="CT139" s="126"/>
      <c r="CU139" s="126"/>
      <c r="CV139" s="126"/>
      <c r="CW139" s="126"/>
      <c r="CX139" s="126"/>
      <c r="CY139" s="126"/>
      <c r="CZ139" s="126"/>
      <c r="DA139" s="126"/>
      <c r="DB139" s="126"/>
      <c r="DC139" s="126"/>
      <c r="DD139" s="126"/>
      <c r="DE139" s="126"/>
      <c r="DF139" s="126"/>
      <c r="DG139" s="126"/>
      <c r="DH139" s="126"/>
      <c r="DI139" s="126"/>
      <c r="DJ139" s="126"/>
      <c r="DK139" s="126"/>
      <c r="DL139" s="126"/>
      <c r="DM139" s="126"/>
      <c r="DN139" s="126"/>
      <c r="DO139" s="126"/>
      <c r="DP139" s="126"/>
      <c r="DQ139" s="126"/>
      <c r="DR139" s="126"/>
      <c r="DS139" s="210"/>
      <c r="DT139" s="126"/>
      <c r="DU139" s="126"/>
      <c r="DV139" s="126"/>
      <c r="DW139" s="126"/>
      <c r="DX139" s="126"/>
      <c r="DY139" s="126"/>
      <c r="DZ139" s="126"/>
      <c r="EA139" s="126"/>
      <c r="EB139" s="126"/>
      <c r="EC139" s="126"/>
      <c r="ED139" s="126"/>
      <c r="EE139" s="126"/>
      <c r="EF139" s="126"/>
      <c r="EG139" s="126"/>
      <c r="EH139" s="126"/>
      <c r="EI139" s="126"/>
      <c r="EJ139" s="126"/>
      <c r="EK139" s="126"/>
      <c r="EL139" s="126"/>
      <c r="EM139" s="126"/>
      <c r="EN139" s="126"/>
      <c r="EO139" s="126"/>
      <c r="EP139" s="126"/>
      <c r="EQ139" s="126"/>
      <c r="ER139" s="126"/>
      <c r="ES139" s="126"/>
      <c r="ET139" s="126"/>
      <c r="EU139" s="126"/>
      <c r="EV139" s="126"/>
      <c r="EW139" s="126"/>
      <c r="EX139" s="126"/>
      <c r="EY139" s="126"/>
      <c r="EZ139" s="126"/>
      <c r="FA139" s="126"/>
      <c r="FB139" s="126"/>
      <c r="FC139" s="126"/>
      <c r="FD139" s="126"/>
      <c r="FE139" s="126"/>
      <c r="FF139" s="126"/>
      <c r="FG139" s="126"/>
      <c r="FH139" s="126"/>
      <c r="FI139" s="126"/>
      <c r="FJ139" s="126"/>
      <c r="FK139" s="126"/>
      <c r="FL139" s="126"/>
      <c r="FM139" s="126"/>
      <c r="FN139" s="126"/>
      <c r="FO139" s="126"/>
      <c r="FP139" s="126"/>
      <c r="FQ139" s="126"/>
      <c r="FR139" s="126"/>
      <c r="FS139" s="126"/>
      <c r="FT139" s="126"/>
      <c r="FU139" s="126"/>
      <c r="FV139" s="126"/>
      <c r="FW139" s="126"/>
      <c r="FX139" s="126"/>
      <c r="FY139" s="126"/>
      <c r="FZ139" s="126"/>
      <c r="GA139" s="123"/>
      <c r="GB139" s="126"/>
      <c r="GC139" s="126"/>
      <c r="GD139" s="126"/>
      <c r="HA139" s="123"/>
      <c r="HK139" s="123"/>
    </row>
    <row r="140" s="126" customFormat="1" spans="2:219">
      <c r="B140" s="123"/>
      <c r="C140" s="126"/>
      <c r="D140" s="126"/>
      <c r="E140" s="126"/>
      <c r="F140" s="126"/>
      <c r="G140" s="126"/>
      <c r="H140" s="126"/>
      <c r="I140" s="126"/>
      <c r="J140" s="126"/>
      <c r="K140" s="126"/>
      <c r="L140" s="123"/>
      <c r="M140" s="126"/>
      <c r="N140" s="126"/>
      <c r="O140" s="126"/>
      <c r="P140" s="126"/>
      <c r="Q140" s="126"/>
      <c r="R140" s="123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  <c r="AP140" s="126"/>
      <c r="AQ140" s="126"/>
      <c r="AR140" s="126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  <c r="BC140" s="126"/>
      <c r="BD140" s="126"/>
      <c r="BE140" s="126"/>
      <c r="BF140" s="126"/>
      <c r="BG140" s="126"/>
      <c r="BH140" s="126"/>
      <c r="BI140" s="126"/>
      <c r="BJ140" s="126"/>
      <c r="BK140" s="126"/>
      <c r="BL140" s="126"/>
      <c r="BM140" s="123"/>
      <c r="BN140" s="126"/>
      <c r="BO140" s="126"/>
      <c r="BP140" s="126"/>
      <c r="BQ140" s="126"/>
      <c r="BR140" s="126"/>
      <c r="BS140" s="126"/>
      <c r="BT140" s="126"/>
      <c r="BU140" s="126"/>
      <c r="BV140" s="126"/>
      <c r="BW140" s="126"/>
      <c r="BX140" s="126"/>
      <c r="BY140" s="126"/>
      <c r="BZ140" s="126"/>
      <c r="CA140" s="126"/>
      <c r="CB140" s="126"/>
      <c r="CC140" s="126"/>
      <c r="CD140" s="126"/>
      <c r="CE140" s="126"/>
      <c r="CF140" s="126"/>
      <c r="CG140" s="126"/>
      <c r="CH140" s="126"/>
      <c r="CI140" s="126"/>
      <c r="CJ140" s="126"/>
      <c r="CK140" s="126"/>
      <c r="CL140" s="126"/>
      <c r="CM140" s="126"/>
      <c r="CN140" s="126"/>
      <c r="CO140" s="126"/>
      <c r="CP140" s="126"/>
      <c r="CQ140" s="126"/>
      <c r="CR140" s="126"/>
      <c r="CS140" s="126"/>
      <c r="CT140" s="126"/>
      <c r="CU140" s="126"/>
      <c r="CV140" s="126"/>
      <c r="CW140" s="126"/>
      <c r="CX140" s="126"/>
      <c r="CY140" s="126"/>
      <c r="CZ140" s="126"/>
      <c r="DA140" s="126"/>
      <c r="DB140" s="126"/>
      <c r="DC140" s="126"/>
      <c r="DD140" s="126"/>
      <c r="DE140" s="126"/>
      <c r="DF140" s="126"/>
      <c r="DG140" s="126"/>
      <c r="DH140" s="126"/>
      <c r="DI140" s="126"/>
      <c r="DJ140" s="126"/>
      <c r="DK140" s="126"/>
      <c r="DL140" s="126"/>
      <c r="DM140" s="126"/>
      <c r="DN140" s="126"/>
      <c r="DO140" s="126"/>
      <c r="DP140" s="126"/>
      <c r="DQ140" s="126"/>
      <c r="DR140" s="126"/>
      <c r="DS140" s="210"/>
      <c r="DT140" s="126"/>
      <c r="DU140" s="126"/>
      <c r="DV140" s="126"/>
      <c r="DW140" s="126"/>
      <c r="DX140" s="126"/>
      <c r="DY140" s="126"/>
      <c r="DZ140" s="126"/>
      <c r="EA140" s="126"/>
      <c r="EB140" s="126"/>
      <c r="EC140" s="126"/>
      <c r="ED140" s="126"/>
      <c r="EE140" s="126"/>
      <c r="EF140" s="126"/>
      <c r="EG140" s="126"/>
      <c r="EH140" s="126"/>
      <c r="EI140" s="126"/>
      <c r="EJ140" s="126"/>
      <c r="EK140" s="126"/>
      <c r="EL140" s="126"/>
      <c r="EM140" s="126"/>
      <c r="EN140" s="126"/>
      <c r="EO140" s="126"/>
      <c r="EP140" s="126"/>
      <c r="EQ140" s="126"/>
      <c r="ER140" s="126"/>
      <c r="ES140" s="126"/>
      <c r="ET140" s="126"/>
      <c r="EU140" s="126"/>
      <c r="EV140" s="126"/>
      <c r="EW140" s="126"/>
      <c r="EX140" s="126"/>
      <c r="EY140" s="126"/>
      <c r="EZ140" s="126"/>
      <c r="FA140" s="126"/>
      <c r="FB140" s="126"/>
      <c r="FC140" s="126"/>
      <c r="FD140" s="126"/>
      <c r="FE140" s="126"/>
      <c r="FF140" s="126"/>
      <c r="FG140" s="126"/>
      <c r="FH140" s="126"/>
      <c r="FI140" s="126"/>
      <c r="FJ140" s="126"/>
      <c r="FK140" s="126"/>
      <c r="FL140" s="126"/>
      <c r="FM140" s="126"/>
      <c r="FN140" s="126"/>
      <c r="FO140" s="126"/>
      <c r="FP140" s="126"/>
      <c r="FQ140" s="126"/>
      <c r="FR140" s="126"/>
      <c r="FS140" s="126"/>
      <c r="FT140" s="126"/>
      <c r="FU140" s="126"/>
      <c r="FV140" s="126"/>
      <c r="FW140" s="126"/>
      <c r="FX140" s="126"/>
      <c r="FY140" s="126"/>
      <c r="FZ140" s="126"/>
      <c r="GA140" s="123"/>
      <c r="GB140" s="126"/>
      <c r="GC140" s="126"/>
      <c r="GD140" s="126"/>
      <c r="HF140" s="123"/>
      <c r="HG140" s="123"/>
      <c r="HH140" s="123"/>
      <c r="HI140" s="123"/>
      <c r="HJ140" s="123"/>
      <c r="HK140" s="123"/>
    </row>
    <row r="141" s="126" customFormat="1" spans="2:219">
      <c r="B141" s="123"/>
      <c r="C141" s="126"/>
      <c r="D141" s="126"/>
      <c r="E141" s="126"/>
      <c r="F141" s="126"/>
      <c r="G141" s="126"/>
      <c r="H141" s="126"/>
      <c r="I141" s="126"/>
      <c r="J141" s="126"/>
      <c r="K141" s="126"/>
      <c r="L141" s="123"/>
      <c r="M141" s="126"/>
      <c r="N141" s="126"/>
      <c r="O141" s="126"/>
      <c r="P141" s="126"/>
      <c r="Q141" s="126"/>
      <c r="R141" s="123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/>
      <c r="AQ141" s="126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  <c r="BC141" s="126"/>
      <c r="BD141" s="126"/>
      <c r="BE141" s="126"/>
      <c r="BF141" s="126"/>
      <c r="BG141" s="126"/>
      <c r="BH141" s="126"/>
      <c r="BI141" s="126"/>
      <c r="BJ141" s="126"/>
      <c r="BK141" s="126"/>
      <c r="BL141" s="126"/>
      <c r="BM141" s="123"/>
      <c r="BN141" s="126"/>
      <c r="BO141" s="126"/>
      <c r="BP141" s="126"/>
      <c r="BQ141" s="126"/>
      <c r="BR141" s="126"/>
      <c r="BS141" s="126"/>
      <c r="BT141" s="126"/>
      <c r="BU141" s="126"/>
      <c r="BV141" s="126"/>
      <c r="BW141" s="126"/>
      <c r="BX141" s="126"/>
      <c r="BY141" s="126"/>
      <c r="BZ141" s="126"/>
      <c r="CA141" s="126"/>
      <c r="CB141" s="126"/>
      <c r="CC141" s="126"/>
      <c r="CD141" s="126"/>
      <c r="CE141" s="126"/>
      <c r="CF141" s="126"/>
      <c r="CG141" s="126"/>
      <c r="CH141" s="126"/>
      <c r="CI141" s="126"/>
      <c r="CJ141" s="126"/>
      <c r="CK141" s="126"/>
      <c r="CL141" s="126"/>
      <c r="CM141" s="126"/>
      <c r="CN141" s="126"/>
      <c r="CO141" s="126"/>
      <c r="CP141" s="126"/>
      <c r="CQ141" s="126"/>
      <c r="CR141" s="126"/>
      <c r="CS141" s="126"/>
      <c r="CT141" s="126"/>
      <c r="CU141" s="126"/>
      <c r="CV141" s="126"/>
      <c r="CW141" s="126"/>
      <c r="CX141" s="126"/>
      <c r="CY141" s="126"/>
      <c r="CZ141" s="126"/>
      <c r="DA141" s="126"/>
      <c r="DB141" s="126"/>
      <c r="DC141" s="126"/>
      <c r="DD141" s="126"/>
      <c r="DE141" s="126"/>
      <c r="DF141" s="126"/>
      <c r="DG141" s="126"/>
      <c r="DH141" s="126"/>
      <c r="DI141" s="126"/>
      <c r="DJ141" s="126"/>
      <c r="DK141" s="126"/>
      <c r="DL141" s="126"/>
      <c r="DM141" s="126"/>
      <c r="DN141" s="126"/>
      <c r="DO141" s="126"/>
      <c r="DP141" s="126"/>
      <c r="DQ141" s="126"/>
      <c r="DR141" s="126"/>
      <c r="DS141" s="210"/>
      <c r="DT141" s="126"/>
      <c r="DU141" s="126"/>
      <c r="DV141" s="126"/>
      <c r="DW141" s="126"/>
      <c r="DX141" s="126"/>
      <c r="DY141" s="126"/>
      <c r="DZ141" s="126"/>
      <c r="EA141" s="126"/>
      <c r="EB141" s="126"/>
      <c r="EC141" s="126"/>
      <c r="ED141" s="126"/>
      <c r="EE141" s="126"/>
      <c r="EF141" s="126"/>
      <c r="EG141" s="126"/>
      <c r="EH141" s="126"/>
      <c r="EI141" s="126"/>
      <c r="EJ141" s="126"/>
      <c r="EK141" s="126"/>
      <c r="EL141" s="126"/>
      <c r="EM141" s="126"/>
      <c r="EN141" s="126"/>
      <c r="EO141" s="126"/>
      <c r="EP141" s="126"/>
      <c r="EQ141" s="126"/>
      <c r="ER141" s="126"/>
      <c r="ES141" s="126"/>
      <c r="ET141" s="126"/>
      <c r="EU141" s="126"/>
      <c r="EV141" s="126"/>
      <c r="EW141" s="126"/>
      <c r="EX141" s="126"/>
      <c r="EY141" s="126"/>
      <c r="EZ141" s="126"/>
      <c r="FA141" s="126"/>
      <c r="FB141" s="126"/>
      <c r="FC141" s="126"/>
      <c r="FD141" s="126"/>
      <c r="FE141" s="126"/>
      <c r="FF141" s="126"/>
      <c r="FG141" s="126"/>
      <c r="FH141" s="126"/>
      <c r="FI141" s="126"/>
      <c r="FJ141" s="126"/>
      <c r="FK141" s="126"/>
      <c r="FL141" s="126"/>
      <c r="FM141" s="126"/>
      <c r="FN141" s="126"/>
      <c r="FO141" s="126"/>
      <c r="FP141" s="126"/>
      <c r="FQ141" s="126"/>
      <c r="FR141" s="126"/>
      <c r="FS141" s="126"/>
      <c r="FT141" s="126"/>
      <c r="FU141" s="126"/>
      <c r="FV141" s="126"/>
      <c r="FW141" s="126"/>
      <c r="FX141" s="126"/>
      <c r="FY141" s="126"/>
      <c r="FZ141" s="126"/>
      <c r="GA141" s="123"/>
      <c r="GB141" s="126"/>
      <c r="GC141" s="126"/>
      <c r="GD141" s="126"/>
      <c r="HA141" s="123"/>
      <c r="HB141" s="123"/>
      <c r="HC141" s="123"/>
      <c r="HD141" s="123"/>
      <c r="HE141" s="123"/>
      <c r="HF141" s="123"/>
      <c r="HG141" s="123"/>
      <c r="HH141" s="123"/>
      <c r="HI141" s="123"/>
      <c r="HJ141" s="123"/>
      <c r="HK141" s="123"/>
    </row>
    <row r="142" s="126" customFormat="1" spans="2:219">
      <c r="B142" s="123"/>
      <c r="C142" s="126"/>
      <c r="D142" s="126"/>
      <c r="E142" s="126"/>
      <c r="F142" s="126"/>
      <c r="G142" s="126"/>
      <c r="H142" s="126"/>
      <c r="I142" s="126"/>
      <c r="J142" s="126"/>
      <c r="K142" s="126"/>
      <c r="L142" s="123"/>
      <c r="M142" s="126"/>
      <c r="N142" s="126"/>
      <c r="O142" s="126"/>
      <c r="P142" s="126"/>
      <c r="Q142" s="126"/>
      <c r="R142" s="123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  <c r="AP142" s="126"/>
      <c r="AQ142" s="126"/>
      <c r="AR142" s="126"/>
      <c r="AS142" s="126"/>
      <c r="AT142" s="126"/>
      <c r="AU142" s="126"/>
      <c r="AV142" s="126"/>
      <c r="AW142" s="126"/>
      <c r="AX142" s="126"/>
      <c r="AY142" s="126"/>
      <c r="AZ142" s="126"/>
      <c r="BA142" s="126"/>
      <c r="BB142" s="126"/>
      <c r="BC142" s="126"/>
      <c r="BD142" s="126"/>
      <c r="BE142" s="126"/>
      <c r="BF142" s="126"/>
      <c r="BG142" s="126"/>
      <c r="BH142" s="126"/>
      <c r="BI142" s="126"/>
      <c r="BJ142" s="126"/>
      <c r="BK142" s="126"/>
      <c r="BL142" s="126"/>
      <c r="BM142" s="126"/>
      <c r="BN142" s="126"/>
      <c r="BO142" s="126"/>
      <c r="BP142" s="126"/>
      <c r="BQ142" s="126"/>
      <c r="BR142" s="126"/>
      <c r="BS142" s="126"/>
      <c r="BT142" s="126"/>
      <c r="BU142" s="126"/>
      <c r="BV142" s="126"/>
      <c r="BW142" s="126"/>
      <c r="BX142" s="126"/>
      <c r="BY142" s="126"/>
      <c r="BZ142" s="126"/>
      <c r="CA142" s="126"/>
      <c r="CB142" s="126"/>
      <c r="CC142" s="126"/>
      <c r="CD142" s="126"/>
      <c r="CE142" s="126"/>
      <c r="CF142" s="126"/>
      <c r="CG142" s="126"/>
      <c r="CH142" s="126"/>
      <c r="CI142" s="126"/>
      <c r="CJ142" s="126"/>
      <c r="CK142" s="126"/>
      <c r="CL142" s="126"/>
      <c r="CM142" s="126"/>
      <c r="CN142" s="126"/>
      <c r="CO142" s="126"/>
      <c r="CP142" s="126"/>
      <c r="CQ142" s="126"/>
      <c r="CR142" s="126"/>
      <c r="CS142" s="126"/>
      <c r="CT142" s="126"/>
      <c r="CU142" s="126"/>
      <c r="CV142" s="126"/>
      <c r="CW142" s="126"/>
      <c r="CX142" s="126"/>
      <c r="CY142" s="126"/>
      <c r="CZ142" s="126"/>
      <c r="DA142" s="126"/>
      <c r="DB142" s="126"/>
      <c r="DC142" s="126"/>
      <c r="DD142" s="126"/>
      <c r="DE142" s="126"/>
      <c r="DF142" s="126"/>
      <c r="DG142" s="126"/>
      <c r="DH142" s="126"/>
      <c r="DI142" s="126"/>
      <c r="DJ142" s="126"/>
      <c r="DK142" s="126"/>
      <c r="DL142" s="126"/>
      <c r="DM142" s="126"/>
      <c r="DN142" s="126"/>
      <c r="DO142" s="126"/>
      <c r="DP142" s="126"/>
      <c r="DQ142" s="126"/>
      <c r="DR142" s="126"/>
      <c r="DS142" s="210"/>
      <c r="DT142" s="126"/>
      <c r="DU142" s="126"/>
      <c r="DV142" s="126"/>
      <c r="DW142" s="126"/>
      <c r="DX142" s="126"/>
      <c r="DY142" s="126"/>
      <c r="DZ142" s="126"/>
      <c r="EA142" s="126"/>
      <c r="EB142" s="126"/>
      <c r="EC142" s="126"/>
      <c r="ED142" s="126"/>
      <c r="EE142" s="126"/>
      <c r="EF142" s="126"/>
      <c r="EG142" s="126"/>
      <c r="EH142" s="126"/>
      <c r="EI142" s="126"/>
      <c r="EJ142" s="126"/>
      <c r="EK142" s="126"/>
      <c r="EL142" s="126"/>
      <c r="EM142" s="126"/>
      <c r="EN142" s="126"/>
      <c r="EO142" s="126"/>
      <c r="EP142" s="126"/>
      <c r="EQ142" s="126"/>
      <c r="ER142" s="126"/>
      <c r="ES142" s="126"/>
      <c r="ET142" s="126"/>
      <c r="EU142" s="126"/>
      <c r="EV142" s="126"/>
      <c r="EW142" s="126"/>
      <c r="EX142" s="126"/>
      <c r="EY142" s="126"/>
      <c r="EZ142" s="126"/>
      <c r="FA142" s="126"/>
      <c r="FB142" s="126"/>
      <c r="FC142" s="126"/>
      <c r="FD142" s="126"/>
      <c r="FE142" s="126"/>
      <c r="FF142" s="126"/>
      <c r="FG142" s="126"/>
      <c r="FH142" s="126"/>
      <c r="FI142" s="126"/>
      <c r="FJ142" s="126"/>
      <c r="FK142" s="126"/>
      <c r="FL142" s="126"/>
      <c r="FM142" s="126"/>
      <c r="FN142" s="126"/>
      <c r="FO142" s="126"/>
      <c r="FP142" s="126"/>
      <c r="FQ142" s="126"/>
      <c r="FR142" s="126"/>
      <c r="FS142" s="126"/>
      <c r="FT142" s="126"/>
      <c r="FU142" s="126"/>
      <c r="FV142" s="126"/>
      <c r="FW142" s="126"/>
      <c r="FX142" s="126"/>
      <c r="FY142" s="126"/>
      <c r="FZ142" s="126"/>
      <c r="GA142" s="123"/>
      <c r="GB142" s="126"/>
      <c r="GC142" s="126"/>
      <c r="GD142" s="126"/>
      <c r="HK142" s="123"/>
    </row>
    <row r="143" s="126" customFormat="1" spans="2:219">
      <c r="B143" s="123"/>
      <c r="C143" s="126"/>
      <c r="D143" s="126"/>
      <c r="E143" s="126"/>
      <c r="F143" s="126"/>
      <c r="G143" s="126"/>
      <c r="H143" s="126"/>
      <c r="I143" s="126"/>
      <c r="J143" s="126"/>
      <c r="K143" s="126"/>
      <c r="L143" s="123"/>
      <c r="M143" s="126"/>
      <c r="N143" s="126"/>
      <c r="O143" s="126"/>
      <c r="P143" s="126"/>
      <c r="Q143" s="126"/>
      <c r="R143" s="123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  <c r="AP143" s="126"/>
      <c r="AQ143" s="126"/>
      <c r="AR143" s="126"/>
      <c r="AS143" s="126"/>
      <c r="AT143" s="126"/>
      <c r="AU143" s="126"/>
      <c r="AV143" s="126"/>
      <c r="AW143" s="126"/>
      <c r="AX143" s="126"/>
      <c r="AY143" s="126"/>
      <c r="AZ143" s="126"/>
      <c r="BA143" s="126"/>
      <c r="BB143" s="126"/>
      <c r="BC143" s="126"/>
      <c r="BD143" s="126"/>
      <c r="BE143" s="126"/>
      <c r="BF143" s="126"/>
      <c r="BG143" s="126"/>
      <c r="BH143" s="126"/>
      <c r="BI143" s="126"/>
      <c r="BJ143" s="126"/>
      <c r="BK143" s="126"/>
      <c r="BL143" s="126"/>
      <c r="BM143" s="126"/>
      <c r="BN143" s="126"/>
      <c r="BO143" s="126"/>
      <c r="BP143" s="126"/>
      <c r="BQ143" s="126"/>
      <c r="BR143" s="126"/>
      <c r="BS143" s="126"/>
      <c r="BT143" s="126"/>
      <c r="BU143" s="126"/>
      <c r="BV143" s="126"/>
      <c r="BW143" s="126"/>
      <c r="BX143" s="126"/>
      <c r="BY143" s="126"/>
      <c r="BZ143" s="126"/>
      <c r="CA143" s="126"/>
      <c r="CB143" s="126"/>
      <c r="CC143" s="126"/>
      <c r="CD143" s="126"/>
      <c r="CE143" s="126"/>
      <c r="CF143" s="126"/>
      <c r="CG143" s="126"/>
      <c r="CH143" s="126"/>
      <c r="CI143" s="126"/>
      <c r="CJ143" s="126"/>
      <c r="CK143" s="126"/>
      <c r="CL143" s="126"/>
      <c r="CM143" s="126"/>
      <c r="CN143" s="126"/>
      <c r="CO143" s="126"/>
      <c r="CP143" s="126"/>
      <c r="CQ143" s="126"/>
      <c r="CR143" s="126"/>
      <c r="CS143" s="126"/>
      <c r="CT143" s="126"/>
      <c r="CU143" s="126"/>
      <c r="CV143" s="126"/>
      <c r="CW143" s="126"/>
      <c r="CX143" s="126"/>
      <c r="CY143" s="126"/>
      <c r="CZ143" s="126"/>
      <c r="DA143" s="126"/>
      <c r="DB143" s="126"/>
      <c r="DC143" s="126"/>
      <c r="DD143" s="126"/>
      <c r="DE143" s="126"/>
      <c r="DF143" s="126"/>
      <c r="DG143" s="126"/>
      <c r="DH143" s="126"/>
      <c r="DI143" s="126"/>
      <c r="DJ143" s="126"/>
      <c r="DK143" s="126"/>
      <c r="DL143" s="126"/>
      <c r="DM143" s="126"/>
      <c r="DN143" s="126"/>
      <c r="DO143" s="126"/>
      <c r="DP143" s="126"/>
      <c r="DQ143" s="126"/>
      <c r="DR143" s="126"/>
      <c r="DS143" s="210"/>
      <c r="DT143" s="126"/>
      <c r="DU143" s="126"/>
      <c r="DV143" s="126"/>
      <c r="DW143" s="126"/>
      <c r="DX143" s="126"/>
      <c r="DY143" s="126"/>
      <c r="DZ143" s="126"/>
      <c r="EA143" s="126"/>
      <c r="EB143" s="126"/>
      <c r="EC143" s="126"/>
      <c r="ED143" s="126"/>
      <c r="EE143" s="126"/>
      <c r="EF143" s="126"/>
      <c r="EG143" s="126"/>
      <c r="EH143" s="126"/>
      <c r="EI143" s="126"/>
      <c r="EJ143" s="126"/>
      <c r="EK143" s="126"/>
      <c r="EL143" s="126"/>
      <c r="EM143" s="126"/>
      <c r="EN143" s="126"/>
      <c r="EO143" s="126"/>
      <c r="EP143" s="126"/>
      <c r="EQ143" s="126"/>
      <c r="ER143" s="126"/>
      <c r="ES143" s="126"/>
      <c r="ET143" s="126"/>
      <c r="EU143" s="126"/>
      <c r="EV143" s="126"/>
      <c r="EW143" s="126"/>
      <c r="EX143" s="126"/>
      <c r="EY143" s="126"/>
      <c r="EZ143" s="126"/>
      <c r="FA143" s="126"/>
      <c r="FB143" s="126"/>
      <c r="FC143" s="126"/>
      <c r="FD143" s="126"/>
      <c r="FE143" s="126"/>
      <c r="FF143" s="126"/>
      <c r="FG143" s="126"/>
      <c r="FH143" s="126"/>
      <c r="FI143" s="126"/>
      <c r="FJ143" s="126"/>
      <c r="FK143" s="126"/>
      <c r="FL143" s="126"/>
      <c r="FM143" s="126"/>
      <c r="FN143" s="126"/>
      <c r="FO143" s="126"/>
      <c r="FP143" s="126"/>
      <c r="FQ143" s="126"/>
      <c r="FR143" s="126"/>
      <c r="FS143" s="126"/>
      <c r="FT143" s="126"/>
      <c r="FU143" s="126"/>
      <c r="FV143" s="126"/>
      <c r="FW143" s="126"/>
      <c r="FX143" s="126"/>
      <c r="FY143" s="126"/>
      <c r="FZ143" s="126"/>
      <c r="GA143" s="123"/>
      <c r="GB143" s="126"/>
      <c r="GC143" s="126"/>
      <c r="GD143" s="126"/>
      <c r="HF143" s="123"/>
      <c r="HG143" s="123"/>
      <c r="HH143" s="123"/>
      <c r="HI143" s="123"/>
      <c r="HJ143" s="123"/>
      <c r="HK143" s="123"/>
    </row>
    <row r="144" s="126" customFormat="1" spans="2:219">
      <c r="B144" s="123"/>
      <c r="C144" s="126"/>
      <c r="D144" s="126"/>
      <c r="E144" s="126"/>
      <c r="F144" s="126"/>
      <c r="G144" s="126"/>
      <c r="H144" s="126"/>
      <c r="I144" s="126"/>
      <c r="J144" s="126"/>
      <c r="K144" s="126"/>
      <c r="L144" s="123"/>
      <c r="M144" s="126"/>
      <c r="N144" s="126"/>
      <c r="O144" s="126"/>
      <c r="P144" s="126"/>
      <c r="Q144" s="126"/>
      <c r="R144" s="123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  <c r="AP144" s="126"/>
      <c r="AQ144" s="126"/>
      <c r="AR144" s="126"/>
      <c r="AS144" s="126"/>
      <c r="AT144" s="126"/>
      <c r="AU144" s="126"/>
      <c r="AV144" s="126"/>
      <c r="AW144" s="126"/>
      <c r="AX144" s="126"/>
      <c r="AY144" s="126"/>
      <c r="AZ144" s="126"/>
      <c r="BA144" s="126"/>
      <c r="BB144" s="126"/>
      <c r="BC144" s="126"/>
      <c r="BD144" s="126"/>
      <c r="BE144" s="126"/>
      <c r="BF144" s="126"/>
      <c r="BG144" s="126"/>
      <c r="BH144" s="126"/>
      <c r="BI144" s="126"/>
      <c r="BJ144" s="126"/>
      <c r="BK144" s="126"/>
      <c r="BL144" s="126"/>
      <c r="BM144" s="126"/>
      <c r="BN144" s="126"/>
      <c r="BO144" s="126"/>
      <c r="BP144" s="126"/>
      <c r="BQ144" s="126"/>
      <c r="BR144" s="126"/>
      <c r="BS144" s="126"/>
      <c r="BT144" s="126"/>
      <c r="BU144" s="126"/>
      <c r="BV144" s="126"/>
      <c r="BW144" s="126"/>
      <c r="BX144" s="126"/>
      <c r="BY144" s="126"/>
      <c r="BZ144" s="126"/>
      <c r="CA144" s="126"/>
      <c r="CB144" s="126"/>
      <c r="CC144" s="126"/>
      <c r="CD144" s="126"/>
      <c r="CE144" s="126"/>
      <c r="CF144" s="126"/>
      <c r="CG144" s="126"/>
      <c r="CH144" s="126"/>
      <c r="CI144" s="126"/>
      <c r="CJ144" s="126"/>
      <c r="CK144" s="126"/>
      <c r="CL144" s="126"/>
      <c r="CM144" s="126"/>
      <c r="CN144" s="126"/>
      <c r="CO144" s="126"/>
      <c r="CP144" s="126"/>
      <c r="CQ144" s="126"/>
      <c r="CR144" s="126"/>
      <c r="CS144" s="126"/>
      <c r="CT144" s="126"/>
      <c r="CU144" s="126"/>
      <c r="CV144" s="126"/>
      <c r="CW144" s="126"/>
      <c r="CX144" s="126"/>
      <c r="CY144" s="126"/>
      <c r="CZ144" s="126"/>
      <c r="DA144" s="126"/>
      <c r="DB144" s="126"/>
      <c r="DC144" s="126"/>
      <c r="DD144" s="126"/>
      <c r="DE144" s="126"/>
      <c r="DF144" s="126"/>
      <c r="DG144" s="126"/>
      <c r="DH144" s="126"/>
      <c r="DI144" s="126"/>
      <c r="DJ144" s="126"/>
      <c r="DK144" s="126"/>
      <c r="DL144" s="126"/>
      <c r="DM144" s="126"/>
      <c r="DN144" s="126"/>
      <c r="DO144" s="126"/>
      <c r="DP144" s="126"/>
      <c r="DQ144" s="126"/>
      <c r="DR144" s="126"/>
      <c r="DS144" s="210"/>
      <c r="DT144" s="126"/>
      <c r="DU144" s="126"/>
      <c r="DV144" s="126"/>
      <c r="DW144" s="126"/>
      <c r="DX144" s="126"/>
      <c r="DY144" s="126"/>
      <c r="DZ144" s="126"/>
      <c r="EA144" s="126"/>
      <c r="EB144" s="126"/>
      <c r="EC144" s="126"/>
      <c r="ED144" s="126"/>
      <c r="EE144" s="126"/>
      <c r="EF144" s="126"/>
      <c r="EG144" s="126"/>
      <c r="EH144" s="126"/>
      <c r="EI144" s="126"/>
      <c r="EJ144" s="126"/>
      <c r="EK144" s="126"/>
      <c r="EL144" s="126"/>
      <c r="EM144" s="126"/>
      <c r="EN144" s="126"/>
      <c r="EO144" s="126"/>
      <c r="EP144" s="126"/>
      <c r="EQ144" s="126"/>
      <c r="ER144" s="126"/>
      <c r="ES144" s="126"/>
      <c r="ET144" s="126"/>
      <c r="EU144" s="126"/>
      <c r="EV144" s="126"/>
      <c r="EW144" s="126"/>
      <c r="EX144" s="126"/>
      <c r="EY144" s="126"/>
      <c r="EZ144" s="126"/>
      <c r="FA144" s="126"/>
      <c r="FB144" s="126"/>
      <c r="FC144" s="126"/>
      <c r="FD144" s="126"/>
      <c r="FE144" s="126"/>
      <c r="FF144" s="126"/>
      <c r="FG144" s="126"/>
      <c r="FH144" s="126"/>
      <c r="FI144" s="126"/>
      <c r="FJ144" s="126"/>
      <c r="FK144" s="126"/>
      <c r="FL144" s="126"/>
      <c r="FM144" s="126"/>
      <c r="FN144" s="126"/>
      <c r="FO144" s="126"/>
      <c r="FP144" s="126"/>
      <c r="FQ144" s="126"/>
      <c r="FR144" s="126"/>
      <c r="FS144" s="126"/>
      <c r="FT144" s="126"/>
      <c r="FU144" s="126"/>
      <c r="FV144" s="126"/>
      <c r="FW144" s="126"/>
      <c r="FX144" s="126"/>
      <c r="FY144" s="126"/>
      <c r="FZ144" s="126"/>
      <c r="GA144" s="123"/>
      <c r="GB144" s="126"/>
      <c r="GC144" s="126"/>
      <c r="GD144" s="126"/>
      <c r="HF144" s="123"/>
      <c r="HG144" s="123"/>
      <c r="HH144" s="123"/>
      <c r="HI144" s="123"/>
      <c r="HJ144" s="123"/>
      <c r="HK144" s="123"/>
    </row>
    <row r="145" s="126" customFormat="1" spans="1:219">
      <c r="A145" s="142"/>
      <c r="B145" s="123"/>
      <c r="C145" s="126"/>
      <c r="D145" s="126"/>
      <c r="E145" s="126"/>
      <c r="F145" s="126"/>
      <c r="G145" s="126"/>
      <c r="H145" s="126"/>
      <c r="I145" s="126"/>
      <c r="J145" s="126"/>
      <c r="K145" s="126"/>
      <c r="L145" s="123"/>
      <c r="M145" s="126"/>
      <c r="N145" s="126"/>
      <c r="O145" s="126"/>
      <c r="P145" s="126"/>
      <c r="Q145" s="126"/>
      <c r="R145" s="123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  <c r="AP145" s="126"/>
      <c r="AQ145" s="126"/>
      <c r="AR145" s="126"/>
      <c r="AS145" s="126"/>
      <c r="AT145" s="126"/>
      <c r="AU145" s="126"/>
      <c r="AV145" s="126"/>
      <c r="AW145" s="126"/>
      <c r="AX145" s="126"/>
      <c r="AY145" s="126"/>
      <c r="AZ145" s="126"/>
      <c r="BA145" s="126"/>
      <c r="BB145" s="126"/>
      <c r="BC145" s="126"/>
      <c r="BD145" s="126"/>
      <c r="BE145" s="126"/>
      <c r="BF145" s="126"/>
      <c r="BG145" s="126"/>
      <c r="BH145" s="126"/>
      <c r="BI145" s="126"/>
      <c r="BJ145" s="126"/>
      <c r="BK145" s="126"/>
      <c r="BL145" s="126"/>
      <c r="BM145" s="123"/>
      <c r="BN145" s="126"/>
      <c r="BO145" s="126"/>
      <c r="BP145" s="126"/>
      <c r="BQ145" s="126"/>
      <c r="BR145" s="126"/>
      <c r="BS145" s="126"/>
      <c r="BT145" s="126"/>
      <c r="BU145" s="126"/>
      <c r="BV145" s="126"/>
      <c r="BW145" s="126"/>
      <c r="BX145" s="126"/>
      <c r="BY145" s="126"/>
      <c r="BZ145" s="126"/>
      <c r="CA145" s="126"/>
      <c r="CB145" s="126"/>
      <c r="CC145" s="126"/>
      <c r="CD145" s="126"/>
      <c r="CE145" s="126"/>
      <c r="CF145" s="126"/>
      <c r="CG145" s="126"/>
      <c r="CH145" s="126"/>
      <c r="CI145" s="126"/>
      <c r="CJ145" s="126"/>
      <c r="CK145" s="126"/>
      <c r="CL145" s="126"/>
      <c r="CM145" s="126"/>
      <c r="CN145" s="126"/>
      <c r="CO145" s="126"/>
      <c r="CP145" s="126"/>
      <c r="CQ145" s="126"/>
      <c r="CR145" s="126"/>
      <c r="CS145" s="126"/>
      <c r="CT145" s="126"/>
      <c r="CU145" s="126"/>
      <c r="CV145" s="126"/>
      <c r="CW145" s="126"/>
      <c r="CX145" s="126"/>
      <c r="CY145" s="126"/>
      <c r="CZ145" s="126"/>
      <c r="DA145" s="126"/>
      <c r="DB145" s="126"/>
      <c r="DC145" s="126"/>
      <c r="DD145" s="126"/>
      <c r="DE145" s="126"/>
      <c r="DF145" s="126"/>
      <c r="DG145" s="126"/>
      <c r="DH145" s="126"/>
      <c r="DI145" s="126"/>
      <c r="DJ145" s="126"/>
      <c r="DK145" s="126"/>
      <c r="DL145" s="126"/>
      <c r="DM145" s="126"/>
      <c r="DN145" s="126"/>
      <c r="DO145" s="126"/>
      <c r="DP145" s="126"/>
      <c r="DQ145" s="126"/>
      <c r="DR145" s="126"/>
      <c r="DS145" s="210"/>
      <c r="DT145" s="126"/>
      <c r="DU145" s="126"/>
      <c r="DV145" s="126"/>
      <c r="DW145" s="126"/>
      <c r="DX145" s="126"/>
      <c r="DY145" s="126"/>
      <c r="DZ145" s="126"/>
      <c r="EA145" s="126"/>
      <c r="EB145" s="126"/>
      <c r="EC145" s="126"/>
      <c r="ED145" s="126"/>
      <c r="EE145" s="126"/>
      <c r="EF145" s="126"/>
      <c r="EG145" s="126"/>
      <c r="EH145" s="126"/>
      <c r="EI145" s="126"/>
      <c r="EJ145" s="126"/>
      <c r="EK145" s="126"/>
      <c r="EL145" s="126"/>
      <c r="EM145" s="126"/>
      <c r="EN145" s="126"/>
      <c r="EO145" s="126"/>
      <c r="EP145" s="126"/>
      <c r="EQ145" s="126"/>
      <c r="ER145" s="126"/>
      <c r="ES145" s="126"/>
      <c r="ET145" s="126"/>
      <c r="EU145" s="126"/>
      <c r="EV145" s="126"/>
      <c r="EW145" s="126"/>
      <c r="EX145" s="126"/>
      <c r="EY145" s="126"/>
      <c r="EZ145" s="126"/>
      <c r="FA145" s="126"/>
      <c r="FB145" s="126"/>
      <c r="FC145" s="126"/>
      <c r="FD145" s="126"/>
      <c r="FE145" s="126"/>
      <c r="FF145" s="126"/>
      <c r="FG145" s="126"/>
      <c r="FH145" s="126"/>
      <c r="FI145" s="126"/>
      <c r="FJ145" s="126"/>
      <c r="FK145" s="126"/>
      <c r="FL145" s="126"/>
      <c r="FM145" s="126"/>
      <c r="FN145" s="126"/>
      <c r="FO145" s="126"/>
      <c r="FP145" s="126"/>
      <c r="FQ145" s="126"/>
      <c r="FR145" s="126"/>
      <c r="FS145" s="126"/>
      <c r="FT145" s="126"/>
      <c r="FU145" s="126"/>
      <c r="FV145" s="126"/>
      <c r="FW145" s="126"/>
      <c r="FX145" s="126"/>
      <c r="FY145" s="126"/>
      <c r="FZ145" s="126"/>
      <c r="GA145" s="123"/>
      <c r="GB145" s="126"/>
      <c r="GC145" s="126"/>
      <c r="GD145" s="126"/>
      <c r="HA145" s="123"/>
      <c r="HB145" s="123"/>
      <c r="HC145" s="123"/>
      <c r="HD145" s="123"/>
      <c r="HE145" s="123"/>
      <c r="HF145" s="123"/>
      <c r="HG145" s="123"/>
      <c r="HH145" s="123"/>
      <c r="HI145" s="123"/>
      <c r="HJ145" s="123"/>
      <c r="HK145" s="123"/>
    </row>
    <row r="146" s="126" customFormat="1" spans="1:219">
      <c r="B146" s="123"/>
      <c r="C146" s="126"/>
      <c r="D146" s="126"/>
      <c r="E146" s="126"/>
      <c r="F146" s="126"/>
      <c r="G146" s="126"/>
      <c r="H146" s="126"/>
      <c r="I146" s="126"/>
      <c r="J146" s="126"/>
      <c r="K146" s="126"/>
      <c r="L146" s="123"/>
      <c r="M146" s="126"/>
      <c r="N146" s="126"/>
      <c r="O146" s="126"/>
      <c r="P146" s="126"/>
      <c r="Q146" s="126"/>
      <c r="R146" s="123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  <c r="AP146" s="126"/>
      <c r="AQ146" s="126"/>
      <c r="AR146" s="126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  <c r="BC146" s="126"/>
      <c r="BD146" s="126"/>
      <c r="BE146" s="126"/>
      <c r="BF146" s="126"/>
      <c r="BG146" s="126"/>
      <c r="BH146" s="126"/>
      <c r="BI146" s="126"/>
      <c r="BJ146" s="126"/>
      <c r="BK146" s="126"/>
      <c r="BL146" s="126"/>
      <c r="BM146" s="126"/>
      <c r="BN146" s="126"/>
      <c r="BO146" s="126"/>
      <c r="BP146" s="126"/>
      <c r="BQ146" s="126"/>
      <c r="BR146" s="126"/>
      <c r="BS146" s="126"/>
      <c r="BT146" s="126"/>
      <c r="BU146" s="126"/>
      <c r="BV146" s="126"/>
      <c r="BW146" s="126"/>
      <c r="BX146" s="126"/>
      <c r="BY146" s="126"/>
      <c r="BZ146" s="126"/>
      <c r="CA146" s="126"/>
      <c r="CB146" s="126"/>
      <c r="CC146" s="126"/>
      <c r="CD146" s="126"/>
      <c r="CE146" s="126"/>
      <c r="CF146" s="126"/>
      <c r="CG146" s="126"/>
      <c r="CH146" s="126"/>
      <c r="CI146" s="126"/>
      <c r="CJ146" s="126"/>
      <c r="CK146" s="126"/>
      <c r="CL146" s="126"/>
      <c r="CM146" s="126"/>
      <c r="CN146" s="126"/>
      <c r="CO146" s="126"/>
      <c r="CP146" s="126"/>
      <c r="CQ146" s="126"/>
      <c r="CR146" s="126"/>
      <c r="CS146" s="126"/>
      <c r="CT146" s="126"/>
      <c r="CU146" s="126"/>
      <c r="CV146" s="126"/>
      <c r="CW146" s="126"/>
      <c r="CX146" s="126"/>
      <c r="CY146" s="126"/>
      <c r="CZ146" s="126"/>
      <c r="DA146" s="126"/>
      <c r="DB146" s="126"/>
      <c r="DC146" s="126"/>
      <c r="DD146" s="126"/>
      <c r="DE146" s="126"/>
      <c r="DF146" s="126"/>
      <c r="DG146" s="126"/>
      <c r="DH146" s="126"/>
      <c r="DI146" s="126"/>
      <c r="DJ146" s="126"/>
      <c r="DK146" s="126"/>
      <c r="DL146" s="126"/>
      <c r="DM146" s="126"/>
      <c r="DN146" s="126"/>
      <c r="DO146" s="126"/>
      <c r="DP146" s="126"/>
      <c r="DQ146" s="126"/>
      <c r="DR146" s="126"/>
      <c r="DS146" s="210"/>
      <c r="DT146" s="126"/>
      <c r="DU146" s="126"/>
      <c r="DV146" s="126"/>
      <c r="DW146" s="126"/>
      <c r="DX146" s="126"/>
      <c r="DY146" s="126"/>
      <c r="DZ146" s="126"/>
      <c r="EA146" s="126"/>
      <c r="EB146" s="126"/>
      <c r="EC146" s="126"/>
      <c r="ED146" s="126"/>
      <c r="EE146" s="126"/>
      <c r="EF146" s="126"/>
      <c r="EG146" s="126"/>
      <c r="EH146" s="126"/>
      <c r="EI146" s="126"/>
      <c r="EJ146" s="126"/>
      <c r="EK146" s="126"/>
      <c r="EL146" s="126"/>
      <c r="EM146" s="126"/>
      <c r="EN146" s="126"/>
      <c r="EO146" s="126"/>
      <c r="EP146" s="126"/>
      <c r="EQ146" s="126"/>
      <c r="ER146" s="126"/>
      <c r="ES146" s="126"/>
      <c r="ET146" s="126"/>
      <c r="EU146" s="126"/>
      <c r="EV146" s="126"/>
      <c r="EW146" s="126"/>
      <c r="EX146" s="126"/>
      <c r="EY146" s="126"/>
      <c r="EZ146" s="126"/>
      <c r="FA146" s="126"/>
      <c r="FB146" s="126"/>
      <c r="FC146" s="126"/>
      <c r="FD146" s="126"/>
      <c r="FE146" s="126"/>
      <c r="FF146" s="126"/>
      <c r="FG146" s="126"/>
      <c r="FH146" s="126"/>
      <c r="FI146" s="126"/>
      <c r="FJ146" s="126"/>
      <c r="FK146" s="126"/>
      <c r="FL146" s="126"/>
      <c r="FM146" s="126"/>
      <c r="FN146" s="126"/>
      <c r="FO146" s="126"/>
      <c r="FP146" s="126"/>
      <c r="FQ146" s="126"/>
      <c r="FR146" s="126"/>
      <c r="FS146" s="126"/>
      <c r="FT146" s="126"/>
      <c r="FU146" s="126"/>
      <c r="FV146" s="126"/>
      <c r="FW146" s="126"/>
      <c r="FX146" s="126"/>
      <c r="FY146" s="126"/>
      <c r="FZ146" s="126"/>
      <c r="GA146" s="123"/>
      <c r="GB146" s="126"/>
      <c r="GC146" s="126"/>
      <c r="GD146" s="126"/>
      <c r="HK146" s="123"/>
    </row>
    <row r="147" s="126" customFormat="1" spans="1:219">
      <c r="B147" s="123"/>
      <c r="C147" s="126"/>
      <c r="D147" s="126"/>
      <c r="E147" s="126"/>
      <c r="F147" s="126"/>
      <c r="G147" s="126"/>
      <c r="H147" s="126"/>
      <c r="I147" s="126"/>
      <c r="J147" s="126"/>
      <c r="K147" s="126"/>
      <c r="L147" s="123"/>
      <c r="M147" s="126"/>
      <c r="N147" s="126"/>
      <c r="O147" s="126"/>
      <c r="P147" s="126"/>
      <c r="Q147" s="126"/>
      <c r="R147" s="123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  <c r="AP147" s="126"/>
      <c r="AQ147" s="126"/>
      <c r="AR147" s="126"/>
      <c r="AS147" s="126"/>
      <c r="AT147" s="126"/>
      <c r="AU147" s="126"/>
      <c r="AV147" s="126"/>
      <c r="AW147" s="126"/>
      <c r="AX147" s="126"/>
      <c r="AY147" s="126"/>
      <c r="AZ147" s="126"/>
      <c r="BA147" s="126"/>
      <c r="BB147" s="126"/>
      <c r="BC147" s="126"/>
      <c r="BD147" s="126"/>
      <c r="BE147" s="126"/>
      <c r="BF147" s="126"/>
      <c r="BG147" s="126"/>
      <c r="BH147" s="126"/>
      <c r="BI147" s="126"/>
      <c r="BJ147" s="126"/>
      <c r="BK147" s="126"/>
      <c r="BL147" s="126"/>
      <c r="BM147" s="123"/>
      <c r="BN147" s="126"/>
      <c r="BO147" s="126"/>
      <c r="BP147" s="126"/>
      <c r="BQ147" s="126"/>
      <c r="BR147" s="126"/>
      <c r="BS147" s="126"/>
      <c r="BT147" s="126"/>
      <c r="BU147" s="126"/>
      <c r="BV147" s="126"/>
      <c r="BW147" s="126"/>
      <c r="BX147" s="126"/>
      <c r="BY147" s="126"/>
      <c r="BZ147" s="126"/>
      <c r="CA147" s="126"/>
      <c r="CB147" s="126"/>
      <c r="CC147" s="126"/>
      <c r="CD147" s="126"/>
      <c r="CE147" s="126"/>
      <c r="CF147" s="126"/>
      <c r="CG147" s="126"/>
      <c r="CH147" s="126"/>
      <c r="CI147" s="126"/>
      <c r="CJ147" s="126"/>
      <c r="CK147" s="126"/>
      <c r="CL147" s="126"/>
      <c r="CM147" s="126"/>
      <c r="CN147" s="126"/>
      <c r="CO147" s="126"/>
      <c r="CP147" s="126"/>
      <c r="CQ147" s="126"/>
      <c r="CR147" s="126"/>
      <c r="CS147" s="126"/>
      <c r="CT147" s="126"/>
      <c r="CU147" s="126"/>
      <c r="CV147" s="126"/>
      <c r="CW147" s="126"/>
      <c r="CX147" s="126"/>
      <c r="CY147" s="126"/>
      <c r="CZ147" s="126"/>
      <c r="DA147" s="126"/>
      <c r="DB147" s="126"/>
      <c r="DC147" s="126"/>
      <c r="DD147" s="126"/>
      <c r="DE147" s="126"/>
      <c r="DF147" s="126"/>
      <c r="DG147" s="126"/>
      <c r="DH147" s="126"/>
      <c r="DI147" s="126"/>
      <c r="DJ147" s="126"/>
      <c r="DK147" s="126"/>
      <c r="DL147" s="126"/>
      <c r="DM147" s="126"/>
      <c r="DN147" s="126"/>
      <c r="DO147" s="126"/>
      <c r="DP147" s="126"/>
      <c r="DQ147" s="126"/>
      <c r="DR147" s="126"/>
      <c r="DS147" s="210"/>
      <c r="DT147" s="126"/>
      <c r="DU147" s="126"/>
      <c r="DV147" s="126"/>
      <c r="DW147" s="126"/>
      <c r="DX147" s="126"/>
      <c r="DY147" s="126"/>
      <c r="DZ147" s="126"/>
      <c r="EA147" s="126"/>
      <c r="EB147" s="126"/>
      <c r="EC147" s="126"/>
      <c r="ED147" s="126"/>
      <c r="EE147" s="126"/>
      <c r="EF147" s="126"/>
      <c r="EG147" s="126"/>
      <c r="EH147" s="126"/>
      <c r="EI147" s="126"/>
      <c r="EJ147" s="126"/>
      <c r="EK147" s="126"/>
      <c r="EL147" s="126"/>
      <c r="EM147" s="126"/>
      <c r="EN147" s="126"/>
      <c r="EO147" s="126"/>
      <c r="EP147" s="126"/>
      <c r="EQ147" s="126"/>
      <c r="ER147" s="126"/>
      <c r="ES147" s="126"/>
      <c r="ET147" s="126"/>
      <c r="EU147" s="126"/>
      <c r="EV147" s="126"/>
      <c r="EW147" s="126"/>
      <c r="EX147" s="126"/>
      <c r="EY147" s="126"/>
      <c r="EZ147" s="126"/>
      <c r="FA147" s="126"/>
      <c r="FB147" s="126"/>
      <c r="FC147" s="126"/>
      <c r="FD147" s="126"/>
      <c r="FE147" s="126"/>
      <c r="FF147" s="126"/>
      <c r="FG147" s="126"/>
      <c r="FH147" s="126"/>
      <c r="FI147" s="126"/>
      <c r="FJ147" s="126"/>
      <c r="FK147" s="126"/>
      <c r="FL147" s="126"/>
      <c r="FM147" s="126"/>
      <c r="FN147" s="126"/>
      <c r="FO147" s="126"/>
      <c r="FP147" s="126"/>
      <c r="FQ147" s="126"/>
      <c r="FR147" s="126"/>
      <c r="FS147" s="126"/>
      <c r="FT147" s="126"/>
      <c r="FU147" s="126"/>
      <c r="FV147" s="126"/>
      <c r="FW147" s="126"/>
      <c r="FX147" s="126"/>
      <c r="FY147" s="126"/>
      <c r="FZ147" s="126"/>
      <c r="GA147" s="123"/>
    </row>
    <row r="148" s="126" customFormat="1" spans="1:219">
      <c r="B148" s="123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3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  <c r="AP148" s="126"/>
      <c r="AQ148" s="126"/>
      <c r="AR148" s="126"/>
      <c r="AS148" s="126"/>
      <c r="AT148" s="126"/>
      <c r="AU148" s="126"/>
      <c r="AV148" s="126"/>
      <c r="AW148" s="126"/>
      <c r="AX148" s="126"/>
      <c r="AY148" s="126"/>
      <c r="AZ148" s="126"/>
      <c r="BA148" s="126"/>
      <c r="BB148" s="126"/>
      <c r="BC148" s="126"/>
      <c r="BD148" s="126"/>
      <c r="BE148" s="126"/>
      <c r="BF148" s="126"/>
      <c r="BG148" s="126"/>
      <c r="BH148" s="126"/>
      <c r="BI148" s="126"/>
      <c r="BJ148" s="126"/>
      <c r="BK148" s="126"/>
      <c r="BL148" s="126"/>
      <c r="BM148" s="123"/>
      <c r="BN148" s="126"/>
      <c r="BO148" s="126"/>
      <c r="BP148" s="126"/>
      <c r="BQ148" s="126"/>
      <c r="BR148" s="126"/>
      <c r="BS148" s="126"/>
      <c r="BT148" s="126"/>
      <c r="BU148" s="126"/>
      <c r="BV148" s="126"/>
      <c r="BW148" s="126"/>
      <c r="BX148" s="126"/>
      <c r="BY148" s="126"/>
      <c r="BZ148" s="126"/>
      <c r="CA148" s="126"/>
      <c r="CB148" s="126"/>
      <c r="CC148" s="126"/>
      <c r="CD148" s="126"/>
      <c r="CE148" s="126"/>
      <c r="CF148" s="126"/>
      <c r="CG148" s="126"/>
      <c r="CH148" s="126"/>
      <c r="CI148" s="126"/>
      <c r="CJ148" s="126"/>
      <c r="CK148" s="126"/>
      <c r="CL148" s="126"/>
      <c r="CM148" s="126"/>
      <c r="CN148" s="126"/>
      <c r="CO148" s="126"/>
      <c r="CP148" s="126"/>
      <c r="CQ148" s="126"/>
      <c r="CR148" s="126"/>
      <c r="CS148" s="126"/>
      <c r="CT148" s="126"/>
      <c r="CU148" s="126"/>
      <c r="CV148" s="126"/>
      <c r="CW148" s="126"/>
      <c r="CX148" s="126"/>
      <c r="CY148" s="126"/>
      <c r="CZ148" s="126"/>
      <c r="DA148" s="126"/>
      <c r="DB148" s="126"/>
      <c r="DC148" s="126"/>
      <c r="DD148" s="126"/>
      <c r="DE148" s="126"/>
      <c r="DF148" s="126"/>
      <c r="DG148" s="126"/>
      <c r="DH148" s="126"/>
      <c r="DI148" s="126"/>
      <c r="DJ148" s="126"/>
      <c r="DK148" s="126"/>
      <c r="DL148" s="126"/>
      <c r="DM148" s="126"/>
      <c r="DN148" s="126"/>
      <c r="DO148" s="126"/>
      <c r="DP148" s="126"/>
      <c r="DQ148" s="126"/>
      <c r="DR148" s="126"/>
      <c r="DS148" s="210"/>
      <c r="DT148" s="126"/>
      <c r="DU148" s="126"/>
      <c r="DV148" s="126"/>
      <c r="DW148" s="126"/>
      <c r="DX148" s="126"/>
      <c r="DY148" s="126"/>
      <c r="DZ148" s="126"/>
      <c r="EA148" s="126"/>
      <c r="EB148" s="126"/>
      <c r="EC148" s="126"/>
      <c r="ED148" s="126"/>
      <c r="EE148" s="126"/>
      <c r="EF148" s="126"/>
      <c r="EG148" s="126"/>
      <c r="EH148" s="126"/>
      <c r="EI148" s="126"/>
      <c r="EJ148" s="126"/>
      <c r="EK148" s="126"/>
      <c r="EL148" s="126"/>
      <c r="EM148" s="126"/>
      <c r="EN148" s="126"/>
      <c r="EO148" s="126"/>
      <c r="EP148" s="126"/>
      <c r="EQ148" s="126"/>
      <c r="ER148" s="126"/>
      <c r="ES148" s="126"/>
      <c r="ET148" s="126"/>
      <c r="EU148" s="126"/>
      <c r="EV148" s="126"/>
      <c r="EW148" s="126"/>
      <c r="EX148" s="126"/>
      <c r="EY148" s="126"/>
      <c r="EZ148" s="126"/>
      <c r="FA148" s="126"/>
      <c r="FB148" s="126"/>
      <c r="FC148" s="126"/>
      <c r="FD148" s="126"/>
      <c r="FE148" s="126"/>
      <c r="FF148" s="126"/>
      <c r="FG148" s="126"/>
      <c r="FH148" s="126"/>
      <c r="FI148" s="126"/>
      <c r="FJ148" s="126"/>
      <c r="FK148" s="126"/>
      <c r="FL148" s="126"/>
      <c r="FM148" s="126"/>
      <c r="FN148" s="126"/>
      <c r="FO148" s="126"/>
      <c r="FP148" s="126"/>
      <c r="FQ148" s="126"/>
      <c r="FR148" s="126"/>
      <c r="FS148" s="126"/>
      <c r="FT148" s="126"/>
      <c r="FU148" s="126"/>
      <c r="FV148" s="126"/>
      <c r="FW148" s="126"/>
      <c r="FX148" s="126"/>
      <c r="FY148" s="126"/>
      <c r="FZ148" s="126"/>
      <c r="GA148" s="123"/>
    </row>
    <row r="149" s="126" customFormat="1" spans="1:219">
      <c r="B149" s="123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3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  <c r="AP149" s="126"/>
      <c r="AQ149" s="126"/>
      <c r="AR149" s="126"/>
      <c r="AS149" s="126"/>
      <c r="AT149" s="126"/>
      <c r="AU149" s="126"/>
      <c r="AV149" s="126"/>
      <c r="AW149" s="126"/>
      <c r="AX149" s="126"/>
      <c r="AY149" s="126"/>
      <c r="AZ149" s="126"/>
      <c r="BA149" s="126"/>
      <c r="BB149" s="126"/>
      <c r="BC149" s="126"/>
      <c r="BD149" s="126"/>
      <c r="BE149" s="126"/>
      <c r="BF149" s="126"/>
      <c r="BG149" s="126"/>
      <c r="BH149" s="126"/>
      <c r="BI149" s="126"/>
      <c r="BJ149" s="126"/>
      <c r="BK149" s="126"/>
      <c r="BL149" s="126"/>
      <c r="BM149" s="123"/>
      <c r="BN149" s="126"/>
      <c r="BO149" s="126"/>
      <c r="BP149" s="126"/>
      <c r="BQ149" s="126"/>
      <c r="BR149" s="126"/>
      <c r="BS149" s="126"/>
      <c r="BT149" s="126"/>
      <c r="BU149" s="126"/>
      <c r="BV149" s="126"/>
      <c r="BW149" s="126"/>
      <c r="BX149" s="126"/>
      <c r="BY149" s="126"/>
      <c r="BZ149" s="126"/>
      <c r="CA149" s="126"/>
      <c r="CB149" s="126"/>
      <c r="CC149" s="126"/>
      <c r="CD149" s="126"/>
      <c r="CE149" s="126"/>
      <c r="CF149" s="126"/>
      <c r="CG149" s="126"/>
      <c r="CH149" s="126"/>
      <c r="CI149" s="126"/>
      <c r="CJ149" s="126"/>
      <c r="CK149" s="126"/>
      <c r="CL149" s="126"/>
      <c r="CM149" s="126"/>
      <c r="CN149" s="126"/>
      <c r="CO149" s="126"/>
      <c r="CP149" s="126"/>
      <c r="CQ149" s="126"/>
      <c r="CR149" s="126"/>
      <c r="CS149" s="126"/>
      <c r="CT149" s="126"/>
      <c r="CU149" s="126"/>
      <c r="CV149" s="126"/>
      <c r="CW149" s="126"/>
      <c r="CX149" s="126"/>
      <c r="CY149" s="126"/>
      <c r="CZ149" s="126"/>
      <c r="DA149" s="126"/>
      <c r="DB149" s="126"/>
      <c r="DC149" s="126"/>
      <c r="DD149" s="126"/>
      <c r="DE149" s="126"/>
      <c r="DF149" s="126"/>
      <c r="DG149" s="126"/>
      <c r="DH149" s="126"/>
      <c r="DI149" s="126"/>
      <c r="DJ149" s="126"/>
      <c r="DK149" s="126"/>
      <c r="DL149" s="126"/>
      <c r="DM149" s="126"/>
      <c r="DN149" s="126"/>
      <c r="DO149" s="126"/>
      <c r="DP149" s="126"/>
      <c r="DQ149" s="126"/>
      <c r="DR149" s="126"/>
      <c r="DS149" s="210"/>
      <c r="DT149" s="126"/>
      <c r="DU149" s="126"/>
      <c r="DV149" s="126"/>
      <c r="DW149" s="126"/>
      <c r="DX149" s="126"/>
      <c r="DY149" s="126"/>
      <c r="DZ149" s="126"/>
      <c r="EA149" s="126"/>
      <c r="EB149" s="126"/>
      <c r="EC149" s="126"/>
      <c r="ED149" s="126"/>
      <c r="EE149" s="126"/>
      <c r="EF149" s="126"/>
      <c r="EG149" s="126"/>
      <c r="EH149" s="126"/>
      <c r="EI149" s="126"/>
      <c r="EJ149" s="126"/>
      <c r="EK149" s="126"/>
      <c r="EL149" s="126"/>
      <c r="EM149" s="126"/>
      <c r="EN149" s="126"/>
      <c r="EO149" s="126"/>
      <c r="EP149" s="126"/>
      <c r="EQ149" s="126"/>
      <c r="ER149" s="126"/>
      <c r="ES149" s="126"/>
      <c r="ET149" s="126"/>
      <c r="EU149" s="126"/>
      <c r="EV149" s="126"/>
      <c r="EW149" s="126"/>
      <c r="EX149" s="126"/>
      <c r="EY149" s="126"/>
      <c r="EZ149" s="126"/>
      <c r="FA149" s="126"/>
      <c r="FB149" s="126"/>
      <c r="FC149" s="126"/>
      <c r="FD149" s="126"/>
      <c r="FE149" s="126"/>
      <c r="FF149" s="126"/>
      <c r="FG149" s="126"/>
      <c r="FH149" s="126"/>
      <c r="FI149" s="126"/>
      <c r="FJ149" s="126"/>
      <c r="FK149" s="126"/>
      <c r="FL149" s="126"/>
      <c r="FM149" s="126"/>
      <c r="FN149" s="126"/>
      <c r="FO149" s="126"/>
      <c r="FP149" s="126"/>
      <c r="FQ149" s="126"/>
      <c r="FR149" s="126"/>
      <c r="FS149" s="126"/>
      <c r="FT149" s="126"/>
      <c r="FU149" s="126"/>
      <c r="FV149" s="126"/>
      <c r="FW149" s="126"/>
      <c r="FX149" s="126"/>
      <c r="FY149" s="126"/>
      <c r="FZ149" s="126"/>
      <c r="GA149" s="123"/>
    </row>
    <row r="150" s="126" customFormat="1" spans="1:219">
      <c r="B150" s="123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3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  <c r="AP150" s="126"/>
      <c r="AQ150" s="126"/>
      <c r="AR150" s="126"/>
      <c r="AS150" s="126"/>
      <c r="AT150" s="126"/>
      <c r="AU150" s="126"/>
      <c r="AV150" s="126"/>
      <c r="AW150" s="126"/>
      <c r="AX150" s="126"/>
      <c r="AY150" s="126"/>
      <c r="AZ150" s="126"/>
      <c r="BA150" s="126"/>
      <c r="BB150" s="126"/>
      <c r="BC150" s="126"/>
      <c r="BD150" s="126"/>
      <c r="BE150" s="126"/>
      <c r="BF150" s="126"/>
      <c r="BG150" s="126"/>
      <c r="BH150" s="126"/>
      <c r="BI150" s="126"/>
      <c r="BJ150" s="126"/>
      <c r="BK150" s="126"/>
      <c r="BL150" s="126"/>
      <c r="BM150" s="123"/>
      <c r="BN150" s="126"/>
      <c r="BO150" s="126"/>
      <c r="BP150" s="126"/>
      <c r="BQ150" s="126"/>
      <c r="BR150" s="126"/>
      <c r="BS150" s="126"/>
      <c r="BT150" s="126"/>
      <c r="BU150" s="126"/>
      <c r="BV150" s="126"/>
      <c r="BW150" s="126"/>
      <c r="BX150" s="126"/>
      <c r="BY150" s="126"/>
      <c r="BZ150" s="126"/>
      <c r="CA150" s="126"/>
      <c r="CB150" s="126"/>
      <c r="CC150" s="126"/>
      <c r="CD150" s="126"/>
      <c r="CE150" s="126"/>
      <c r="CF150" s="126"/>
      <c r="CG150" s="126"/>
      <c r="CH150" s="126"/>
      <c r="CI150" s="126"/>
      <c r="CJ150" s="126"/>
      <c r="CK150" s="126"/>
      <c r="CL150" s="126"/>
      <c r="CM150" s="126"/>
      <c r="CN150" s="126"/>
      <c r="CO150" s="126"/>
      <c r="CP150" s="126"/>
      <c r="CQ150" s="126"/>
      <c r="CR150" s="126"/>
      <c r="CS150" s="126"/>
      <c r="CT150" s="126"/>
      <c r="CU150" s="126"/>
      <c r="CV150" s="126"/>
      <c r="CW150" s="126"/>
      <c r="CX150" s="126"/>
      <c r="CY150" s="126"/>
      <c r="CZ150" s="126"/>
      <c r="DA150" s="126"/>
      <c r="DB150" s="126"/>
      <c r="DC150" s="126"/>
      <c r="DD150" s="126"/>
      <c r="DE150" s="126"/>
      <c r="DF150" s="126"/>
      <c r="DG150" s="126"/>
      <c r="DH150" s="126"/>
      <c r="DI150" s="126"/>
      <c r="DJ150" s="126"/>
      <c r="DK150" s="126"/>
      <c r="DL150" s="126"/>
      <c r="DM150" s="126"/>
      <c r="DN150" s="126"/>
      <c r="DO150" s="126"/>
      <c r="DP150" s="126"/>
      <c r="DQ150" s="126"/>
      <c r="DR150" s="126"/>
      <c r="DS150" s="210"/>
      <c r="DT150" s="126"/>
      <c r="DU150" s="126"/>
      <c r="DV150" s="126"/>
      <c r="DW150" s="126"/>
      <c r="DX150" s="126"/>
      <c r="DY150" s="126"/>
      <c r="DZ150" s="126"/>
      <c r="EA150" s="126"/>
      <c r="EB150" s="126"/>
      <c r="EC150" s="126"/>
      <c r="ED150" s="126"/>
      <c r="EE150" s="126"/>
      <c r="EF150" s="126"/>
      <c r="EG150" s="126"/>
      <c r="EH150" s="126"/>
      <c r="EI150" s="126"/>
      <c r="EJ150" s="126"/>
      <c r="EK150" s="126"/>
      <c r="EL150" s="126"/>
      <c r="EM150" s="126"/>
      <c r="EN150" s="126"/>
      <c r="EO150" s="126"/>
      <c r="EP150" s="126"/>
      <c r="EQ150" s="126"/>
      <c r="ER150" s="126"/>
      <c r="ES150" s="126"/>
      <c r="ET150" s="126"/>
      <c r="EU150" s="126"/>
      <c r="EV150" s="126"/>
      <c r="EW150" s="126"/>
      <c r="EX150" s="126"/>
      <c r="EY150" s="126"/>
      <c r="EZ150" s="126"/>
      <c r="FA150" s="126"/>
      <c r="FB150" s="126"/>
      <c r="FC150" s="126"/>
      <c r="FD150" s="126"/>
      <c r="FE150" s="126"/>
      <c r="FF150" s="126"/>
      <c r="FG150" s="126"/>
      <c r="FH150" s="126"/>
      <c r="FI150" s="126"/>
      <c r="FJ150" s="126"/>
      <c r="FK150" s="126"/>
      <c r="FL150" s="126"/>
      <c r="FM150" s="126"/>
      <c r="FN150" s="126"/>
      <c r="FO150" s="126"/>
      <c r="FP150" s="126"/>
      <c r="FQ150" s="126"/>
      <c r="FR150" s="126"/>
      <c r="FS150" s="126"/>
      <c r="FT150" s="126"/>
      <c r="FU150" s="126"/>
      <c r="FV150" s="126"/>
      <c r="FW150" s="126"/>
      <c r="FX150" s="126"/>
      <c r="FY150" s="126"/>
      <c r="FZ150" s="126"/>
      <c r="GA150" s="123"/>
    </row>
    <row r="151" s="126" customFormat="1" spans="1:219">
      <c r="B151" s="123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3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  <c r="AP151" s="126"/>
      <c r="AQ151" s="126"/>
      <c r="AR151" s="126"/>
      <c r="AS151" s="126"/>
      <c r="AT151" s="126"/>
      <c r="AU151" s="126"/>
      <c r="AV151" s="126"/>
      <c r="AW151" s="126"/>
      <c r="AX151" s="126"/>
      <c r="AY151" s="126"/>
      <c r="AZ151" s="126"/>
      <c r="BA151" s="126"/>
      <c r="BB151" s="126"/>
      <c r="BC151" s="126"/>
      <c r="BD151" s="126"/>
      <c r="BE151" s="126"/>
      <c r="BF151" s="126"/>
      <c r="BG151" s="126"/>
      <c r="BH151" s="126"/>
      <c r="BI151" s="126"/>
      <c r="BJ151" s="126"/>
      <c r="BK151" s="126"/>
      <c r="BL151" s="126"/>
      <c r="BM151" s="123"/>
      <c r="BN151" s="126"/>
      <c r="BO151" s="126"/>
      <c r="BP151" s="126"/>
      <c r="BQ151" s="126"/>
      <c r="BR151" s="126"/>
      <c r="BS151" s="126"/>
      <c r="BT151" s="126"/>
      <c r="BU151" s="126"/>
      <c r="BV151" s="126"/>
      <c r="BW151" s="126"/>
      <c r="BX151" s="126"/>
      <c r="BY151" s="126"/>
      <c r="BZ151" s="126"/>
      <c r="CA151" s="126"/>
      <c r="CB151" s="126"/>
      <c r="CC151" s="126"/>
      <c r="CD151" s="126"/>
      <c r="CE151" s="126"/>
      <c r="CF151" s="126"/>
      <c r="CG151" s="126"/>
      <c r="CH151" s="126"/>
      <c r="CI151" s="126"/>
      <c r="CJ151" s="126"/>
      <c r="CK151" s="126"/>
      <c r="CL151" s="126"/>
      <c r="CM151" s="126"/>
      <c r="CN151" s="126"/>
      <c r="CO151" s="126"/>
      <c r="CP151" s="126"/>
      <c r="CQ151" s="126"/>
      <c r="CR151" s="126"/>
      <c r="CS151" s="126"/>
      <c r="CT151" s="126"/>
      <c r="CU151" s="126"/>
      <c r="CV151" s="126"/>
      <c r="CW151" s="126"/>
      <c r="CX151" s="126"/>
      <c r="CY151" s="126"/>
      <c r="CZ151" s="126"/>
      <c r="DA151" s="126"/>
      <c r="DB151" s="126"/>
      <c r="DC151" s="126"/>
      <c r="DD151" s="126"/>
      <c r="DE151" s="126"/>
      <c r="DF151" s="126"/>
      <c r="DG151" s="126"/>
      <c r="DH151" s="126"/>
      <c r="DI151" s="126"/>
      <c r="DJ151" s="126"/>
      <c r="DK151" s="126"/>
      <c r="DL151" s="126"/>
      <c r="DM151" s="126"/>
      <c r="DN151" s="126"/>
      <c r="DO151" s="126"/>
      <c r="DP151" s="126"/>
      <c r="DQ151" s="126"/>
      <c r="DR151" s="126"/>
      <c r="DS151" s="210"/>
      <c r="DT151" s="126"/>
      <c r="DU151" s="126"/>
      <c r="DV151" s="126"/>
      <c r="DW151" s="126"/>
      <c r="DX151" s="126"/>
      <c r="DY151" s="126"/>
      <c r="DZ151" s="126"/>
      <c r="EA151" s="126"/>
      <c r="EB151" s="126"/>
      <c r="EC151" s="126"/>
      <c r="ED151" s="126"/>
      <c r="EE151" s="126"/>
      <c r="EF151" s="126"/>
      <c r="EG151" s="126"/>
      <c r="EH151" s="126"/>
      <c r="EI151" s="126"/>
      <c r="EJ151" s="126"/>
      <c r="EK151" s="126"/>
      <c r="EL151" s="126"/>
      <c r="EM151" s="126"/>
      <c r="EN151" s="126"/>
      <c r="EO151" s="126"/>
      <c r="EP151" s="126"/>
      <c r="EQ151" s="126"/>
      <c r="ER151" s="126"/>
      <c r="ES151" s="126"/>
      <c r="ET151" s="126"/>
      <c r="EU151" s="126"/>
      <c r="EV151" s="126"/>
      <c r="EW151" s="126"/>
      <c r="EX151" s="126"/>
      <c r="EY151" s="126"/>
      <c r="EZ151" s="126"/>
      <c r="FA151" s="126"/>
      <c r="FB151" s="126"/>
      <c r="FC151" s="126"/>
      <c r="FD151" s="126"/>
      <c r="FE151" s="126"/>
      <c r="FF151" s="126"/>
      <c r="FG151" s="126"/>
      <c r="FH151" s="126"/>
      <c r="FI151" s="126"/>
      <c r="FJ151" s="126"/>
      <c r="FK151" s="126"/>
      <c r="FL151" s="126"/>
      <c r="FM151" s="126"/>
      <c r="FN151" s="126"/>
      <c r="FO151" s="126"/>
      <c r="FP151" s="126"/>
      <c r="FQ151" s="126"/>
      <c r="FR151" s="126"/>
      <c r="FS151" s="126"/>
      <c r="FT151" s="126"/>
      <c r="FU151" s="126"/>
      <c r="FV151" s="126"/>
      <c r="FW151" s="126"/>
      <c r="FX151" s="126"/>
      <c r="FY151" s="126"/>
      <c r="FZ151" s="126"/>
      <c r="GA151" s="123"/>
    </row>
    <row r="152" s="126" customFormat="1" spans="1:219">
      <c r="A152" s="142"/>
      <c r="B152" s="123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3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  <c r="AP152" s="126"/>
      <c r="AQ152" s="126"/>
      <c r="AR152" s="126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  <c r="BC152" s="126"/>
      <c r="BD152" s="126"/>
      <c r="BE152" s="126"/>
      <c r="BF152" s="126"/>
      <c r="BG152" s="126"/>
      <c r="BH152" s="126"/>
      <c r="BI152" s="126"/>
      <c r="BJ152" s="126"/>
      <c r="BK152" s="126"/>
      <c r="BL152" s="126"/>
      <c r="BM152" s="123"/>
      <c r="BN152" s="126"/>
      <c r="BO152" s="126"/>
      <c r="BP152" s="126"/>
      <c r="BQ152" s="126"/>
      <c r="BR152" s="126"/>
      <c r="BS152" s="126"/>
      <c r="BT152" s="126"/>
      <c r="BU152" s="126"/>
      <c r="BV152" s="126"/>
      <c r="BW152" s="126"/>
      <c r="BX152" s="126"/>
      <c r="BY152" s="126"/>
      <c r="BZ152" s="126"/>
      <c r="CA152" s="126"/>
      <c r="CB152" s="126"/>
      <c r="CC152" s="126"/>
      <c r="CD152" s="126"/>
      <c r="CE152" s="126"/>
      <c r="CF152" s="126"/>
      <c r="CG152" s="126"/>
      <c r="CH152" s="126"/>
      <c r="CI152" s="126"/>
      <c r="CJ152" s="126"/>
      <c r="CK152" s="126"/>
      <c r="CL152" s="126"/>
      <c r="CM152" s="126"/>
      <c r="CN152" s="126"/>
      <c r="CO152" s="126"/>
      <c r="CP152" s="126"/>
      <c r="CQ152" s="126"/>
      <c r="CR152" s="126"/>
      <c r="CS152" s="126"/>
      <c r="CT152" s="126"/>
      <c r="CU152" s="126"/>
      <c r="CV152" s="126"/>
      <c r="CW152" s="126"/>
      <c r="CX152" s="126"/>
      <c r="CY152" s="126"/>
      <c r="CZ152" s="126"/>
      <c r="DA152" s="126"/>
      <c r="DB152" s="126"/>
      <c r="DC152" s="126"/>
      <c r="DD152" s="126"/>
      <c r="DE152" s="126"/>
      <c r="DF152" s="126"/>
      <c r="DG152" s="126"/>
      <c r="DH152" s="126"/>
      <c r="DI152" s="126"/>
      <c r="DJ152" s="126"/>
      <c r="DK152" s="126"/>
      <c r="DL152" s="126"/>
      <c r="DM152" s="126"/>
      <c r="DN152" s="126"/>
      <c r="DO152" s="126"/>
      <c r="DP152" s="126"/>
      <c r="DQ152" s="126"/>
      <c r="DR152" s="126"/>
      <c r="DS152" s="210"/>
      <c r="DT152" s="126"/>
      <c r="DU152" s="126"/>
      <c r="DV152" s="126"/>
      <c r="DW152" s="126"/>
      <c r="DX152" s="126"/>
      <c r="DY152" s="126"/>
      <c r="DZ152" s="126"/>
      <c r="EA152" s="126"/>
      <c r="EB152" s="126"/>
      <c r="EC152" s="126"/>
      <c r="ED152" s="126"/>
      <c r="EE152" s="126"/>
      <c r="EF152" s="126"/>
      <c r="EG152" s="126"/>
      <c r="EH152" s="126"/>
      <c r="EI152" s="126"/>
      <c r="EJ152" s="126"/>
      <c r="EK152" s="126"/>
      <c r="EL152" s="126"/>
      <c r="EM152" s="126"/>
      <c r="EN152" s="126"/>
      <c r="EO152" s="126"/>
      <c r="EP152" s="126"/>
      <c r="EQ152" s="126"/>
      <c r="ER152" s="126"/>
      <c r="ES152" s="126"/>
      <c r="ET152" s="126"/>
      <c r="EU152" s="126"/>
      <c r="EV152" s="126"/>
      <c r="EW152" s="126"/>
      <c r="EX152" s="126"/>
      <c r="EY152" s="126"/>
      <c r="EZ152" s="126"/>
      <c r="FA152" s="126"/>
      <c r="FB152" s="126"/>
      <c r="FC152" s="126"/>
      <c r="FD152" s="126"/>
      <c r="FE152" s="126"/>
      <c r="FF152" s="126"/>
      <c r="FG152" s="126"/>
      <c r="FH152" s="126"/>
      <c r="FI152" s="126"/>
      <c r="FJ152" s="126"/>
      <c r="FK152" s="126"/>
      <c r="FL152" s="126"/>
      <c r="FM152" s="126"/>
      <c r="FN152" s="126"/>
      <c r="FO152" s="126"/>
      <c r="FP152" s="126"/>
      <c r="FQ152" s="126"/>
      <c r="FR152" s="126"/>
      <c r="FS152" s="126"/>
      <c r="FT152" s="126"/>
      <c r="FU152" s="126"/>
      <c r="FV152" s="126"/>
      <c r="FW152" s="126"/>
      <c r="FX152" s="126"/>
      <c r="FY152" s="126"/>
      <c r="FZ152" s="126"/>
      <c r="GA152" s="123"/>
    </row>
    <row r="153" s="126" customFormat="1" spans="1:219">
      <c r="B153" s="123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3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  <c r="AP153" s="126"/>
      <c r="AQ153" s="126"/>
      <c r="AR153" s="126"/>
      <c r="AS153" s="126"/>
      <c r="AT153" s="126"/>
      <c r="AU153" s="126"/>
      <c r="AV153" s="126"/>
      <c r="AW153" s="126"/>
      <c r="AX153" s="126"/>
      <c r="AY153" s="126"/>
      <c r="AZ153" s="126"/>
      <c r="BA153" s="126"/>
      <c r="BB153" s="126"/>
      <c r="BC153" s="126"/>
      <c r="BD153" s="126"/>
      <c r="BE153" s="126"/>
      <c r="BF153" s="126"/>
      <c r="BG153" s="126"/>
      <c r="BH153" s="126"/>
      <c r="BI153" s="126"/>
      <c r="BJ153" s="126"/>
      <c r="BK153" s="126"/>
      <c r="BL153" s="126"/>
      <c r="BM153" s="123"/>
      <c r="BN153" s="126"/>
      <c r="BO153" s="126"/>
      <c r="BP153" s="126"/>
      <c r="BQ153" s="126"/>
      <c r="BR153" s="126"/>
      <c r="BS153" s="126"/>
      <c r="BT153" s="126"/>
      <c r="BU153" s="126"/>
      <c r="BV153" s="126"/>
      <c r="BW153" s="126"/>
      <c r="BX153" s="126"/>
      <c r="BY153" s="126"/>
      <c r="BZ153" s="126"/>
      <c r="CA153" s="126"/>
      <c r="CB153" s="126"/>
      <c r="CC153" s="126"/>
      <c r="CD153" s="126"/>
      <c r="CE153" s="126"/>
      <c r="CF153" s="126"/>
      <c r="CG153" s="126"/>
      <c r="CH153" s="126"/>
      <c r="CI153" s="126"/>
      <c r="CJ153" s="126"/>
      <c r="CK153" s="126"/>
      <c r="CL153" s="126"/>
      <c r="CM153" s="126"/>
      <c r="CN153" s="126"/>
      <c r="CO153" s="126"/>
      <c r="CP153" s="126"/>
      <c r="CQ153" s="126"/>
      <c r="CR153" s="126"/>
      <c r="CS153" s="126"/>
      <c r="CT153" s="126"/>
      <c r="CU153" s="126"/>
      <c r="CV153" s="126"/>
      <c r="CW153" s="126"/>
      <c r="CX153" s="126"/>
      <c r="CY153" s="126"/>
      <c r="CZ153" s="126"/>
      <c r="DA153" s="126"/>
      <c r="DB153" s="126"/>
      <c r="DC153" s="126"/>
      <c r="DD153" s="126"/>
      <c r="DE153" s="126"/>
      <c r="DF153" s="126"/>
      <c r="DG153" s="126"/>
      <c r="DH153" s="126"/>
      <c r="DI153" s="126"/>
      <c r="DJ153" s="126"/>
      <c r="DK153" s="126"/>
      <c r="DL153" s="126"/>
      <c r="DM153" s="126"/>
      <c r="DN153" s="126"/>
      <c r="DO153" s="126"/>
      <c r="DP153" s="126"/>
      <c r="DQ153" s="126"/>
      <c r="DR153" s="126"/>
      <c r="DS153" s="210"/>
      <c r="DT153" s="126"/>
      <c r="DU153" s="126"/>
      <c r="DV153" s="126"/>
      <c r="DW153" s="126"/>
      <c r="DX153" s="126"/>
      <c r="DY153" s="126"/>
      <c r="DZ153" s="126"/>
      <c r="EA153" s="126"/>
      <c r="EB153" s="126"/>
      <c r="EC153" s="126"/>
      <c r="ED153" s="126"/>
      <c r="EE153" s="126"/>
      <c r="EF153" s="126"/>
      <c r="EG153" s="126"/>
      <c r="EH153" s="126"/>
      <c r="EI153" s="126"/>
      <c r="EJ153" s="126"/>
      <c r="EK153" s="126"/>
      <c r="EL153" s="126"/>
      <c r="EM153" s="126"/>
      <c r="EN153" s="126"/>
      <c r="EO153" s="126"/>
      <c r="EP153" s="126"/>
      <c r="EQ153" s="126"/>
      <c r="ER153" s="126"/>
      <c r="ES153" s="126"/>
      <c r="ET153" s="126"/>
      <c r="EU153" s="126"/>
      <c r="EV153" s="126"/>
      <c r="EW153" s="126"/>
      <c r="EX153" s="126"/>
      <c r="EY153" s="126"/>
      <c r="EZ153" s="126"/>
      <c r="FA153" s="126"/>
      <c r="FB153" s="126"/>
      <c r="FC153" s="126"/>
      <c r="FD153" s="126"/>
      <c r="FE153" s="126"/>
      <c r="FF153" s="126"/>
      <c r="FG153" s="126"/>
      <c r="FH153" s="126"/>
      <c r="FI153" s="126"/>
      <c r="FJ153" s="126"/>
      <c r="FK153" s="126"/>
      <c r="FL153" s="126"/>
      <c r="FM153" s="126"/>
      <c r="FN153" s="126"/>
      <c r="FO153" s="126"/>
      <c r="FP153" s="126"/>
      <c r="FQ153" s="126"/>
      <c r="FR153" s="126"/>
      <c r="FS153" s="126"/>
      <c r="FT153" s="126"/>
      <c r="FU153" s="126"/>
      <c r="FV153" s="126"/>
      <c r="FW153" s="126"/>
      <c r="FX153" s="126"/>
      <c r="FY153" s="126"/>
      <c r="FZ153" s="126"/>
      <c r="GA153" s="123"/>
    </row>
    <row r="154" s="126" customFormat="1" spans="1:219">
      <c r="B154" s="123"/>
      <c r="C154" s="126"/>
      <c r="D154" s="126"/>
      <c r="E154" s="126"/>
      <c r="F154" s="126"/>
      <c r="G154" s="126"/>
      <c r="H154" s="126"/>
      <c r="I154" s="126"/>
      <c r="J154" s="126"/>
      <c r="K154" s="126"/>
      <c r="L154" s="123"/>
      <c r="M154" s="126"/>
      <c r="N154" s="126"/>
      <c r="O154" s="126"/>
      <c r="P154" s="126"/>
      <c r="Q154" s="126"/>
      <c r="R154" s="123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  <c r="BC154" s="126"/>
      <c r="BD154" s="126"/>
      <c r="BE154" s="126"/>
      <c r="BF154" s="126"/>
      <c r="BG154" s="126"/>
      <c r="BH154" s="126"/>
      <c r="BI154" s="126"/>
      <c r="BJ154" s="126"/>
      <c r="BK154" s="126"/>
      <c r="BL154" s="126"/>
      <c r="BM154" s="123"/>
      <c r="BN154" s="126"/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26"/>
      <c r="BY154" s="126"/>
      <c r="BZ154" s="126"/>
      <c r="CA154" s="126"/>
      <c r="CB154" s="126"/>
      <c r="CC154" s="126"/>
      <c r="CD154" s="126"/>
      <c r="CE154" s="126"/>
      <c r="CF154" s="126"/>
      <c r="CG154" s="126"/>
      <c r="CH154" s="126"/>
      <c r="CI154" s="126"/>
      <c r="CJ154" s="126"/>
      <c r="CK154" s="126"/>
      <c r="CL154" s="126"/>
      <c r="CM154" s="126"/>
      <c r="CN154" s="126"/>
      <c r="CO154" s="126"/>
      <c r="CP154" s="126"/>
      <c r="CQ154" s="126"/>
      <c r="CR154" s="126"/>
      <c r="CS154" s="126"/>
      <c r="CT154" s="126"/>
      <c r="CU154" s="126"/>
      <c r="CV154" s="126"/>
      <c r="CW154" s="126"/>
      <c r="CX154" s="126"/>
      <c r="CY154" s="126"/>
      <c r="CZ154" s="126"/>
      <c r="DA154" s="126"/>
      <c r="DB154" s="126"/>
      <c r="DC154" s="126"/>
      <c r="DD154" s="126"/>
      <c r="DE154" s="126"/>
      <c r="DF154" s="126"/>
      <c r="DG154" s="126"/>
      <c r="DH154" s="126"/>
      <c r="DI154" s="126"/>
      <c r="DJ154" s="126"/>
      <c r="DK154" s="126"/>
      <c r="DL154" s="126"/>
      <c r="DM154" s="126"/>
      <c r="DN154" s="126"/>
      <c r="DO154" s="126"/>
      <c r="DP154" s="126"/>
      <c r="DQ154" s="126"/>
      <c r="DR154" s="126"/>
      <c r="DS154" s="210"/>
      <c r="DT154" s="126"/>
      <c r="DU154" s="126"/>
      <c r="DV154" s="126"/>
      <c r="DW154" s="126"/>
      <c r="DX154" s="126"/>
      <c r="DY154" s="126"/>
      <c r="DZ154" s="126"/>
      <c r="EA154" s="126"/>
      <c r="EB154" s="126"/>
      <c r="EC154" s="126"/>
      <c r="ED154" s="126"/>
      <c r="EE154" s="126"/>
      <c r="EF154" s="126"/>
      <c r="EG154" s="126"/>
      <c r="EH154" s="126"/>
      <c r="EI154" s="126"/>
      <c r="EJ154" s="126"/>
      <c r="EK154" s="126"/>
      <c r="EL154" s="126"/>
      <c r="EM154" s="126"/>
      <c r="EN154" s="126"/>
      <c r="EO154" s="126"/>
      <c r="EP154" s="126"/>
      <c r="EQ154" s="126"/>
      <c r="ER154" s="126"/>
      <c r="ES154" s="126"/>
      <c r="ET154" s="126"/>
      <c r="EU154" s="126"/>
      <c r="EV154" s="126"/>
      <c r="EW154" s="126"/>
      <c r="EX154" s="126"/>
      <c r="EY154" s="126"/>
      <c r="EZ154" s="126"/>
      <c r="FA154" s="126"/>
      <c r="FB154" s="126"/>
      <c r="FC154" s="126"/>
      <c r="FD154" s="126"/>
      <c r="FE154" s="126"/>
      <c r="FF154" s="126"/>
      <c r="FG154" s="126"/>
      <c r="FH154" s="126"/>
      <c r="FI154" s="126"/>
      <c r="FJ154" s="126"/>
      <c r="FK154" s="126"/>
      <c r="FL154" s="126"/>
      <c r="FM154" s="126"/>
      <c r="FN154" s="126"/>
      <c r="FO154" s="126"/>
      <c r="FP154" s="126"/>
      <c r="FQ154" s="126"/>
      <c r="FR154" s="126"/>
      <c r="FS154" s="126"/>
      <c r="FT154" s="126"/>
      <c r="FU154" s="126"/>
      <c r="FV154" s="126"/>
      <c r="FW154" s="126"/>
      <c r="FX154" s="126"/>
      <c r="FY154" s="126"/>
      <c r="FZ154" s="126"/>
      <c r="GA154" s="123"/>
    </row>
    <row r="155" s="126" customFormat="1" spans="1:219">
      <c r="B155" s="123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3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  <c r="BC155" s="126"/>
      <c r="BD155" s="126"/>
      <c r="BE155" s="126"/>
      <c r="BF155" s="126"/>
      <c r="BG155" s="126"/>
      <c r="BH155" s="126"/>
      <c r="BI155" s="126"/>
      <c r="BJ155" s="126"/>
      <c r="BK155" s="126"/>
      <c r="BL155" s="126"/>
      <c r="BM155" s="123"/>
      <c r="BN155" s="126"/>
      <c r="BO155" s="126"/>
      <c r="BP155" s="126"/>
      <c r="BQ155" s="126"/>
      <c r="BR155" s="126"/>
      <c r="BS155" s="126"/>
      <c r="BT155" s="126"/>
      <c r="BU155" s="126"/>
      <c r="BV155" s="126"/>
      <c r="BW155" s="126"/>
      <c r="BX155" s="126"/>
      <c r="BY155" s="126"/>
      <c r="BZ155" s="126"/>
      <c r="CA155" s="126"/>
      <c r="CB155" s="126"/>
      <c r="CC155" s="126"/>
      <c r="CD155" s="126"/>
      <c r="CE155" s="126"/>
      <c r="CF155" s="126"/>
      <c r="CG155" s="126"/>
      <c r="CH155" s="126"/>
      <c r="CI155" s="126"/>
      <c r="CJ155" s="126"/>
      <c r="CK155" s="126"/>
      <c r="CL155" s="126"/>
      <c r="CM155" s="126"/>
      <c r="CN155" s="126"/>
      <c r="CO155" s="126"/>
      <c r="CP155" s="126"/>
      <c r="CQ155" s="126"/>
      <c r="CR155" s="126"/>
      <c r="CS155" s="126"/>
      <c r="CT155" s="126"/>
      <c r="CU155" s="126"/>
      <c r="CV155" s="126"/>
      <c r="CW155" s="126"/>
      <c r="CX155" s="126"/>
      <c r="CY155" s="126"/>
      <c r="CZ155" s="126"/>
      <c r="DA155" s="126"/>
      <c r="DB155" s="126"/>
      <c r="DC155" s="126"/>
      <c r="DD155" s="126"/>
      <c r="DE155" s="126"/>
      <c r="DF155" s="126"/>
      <c r="DG155" s="126"/>
      <c r="DH155" s="126"/>
      <c r="DI155" s="126"/>
      <c r="DJ155" s="126"/>
      <c r="DK155" s="126"/>
      <c r="DL155" s="126"/>
      <c r="DM155" s="126"/>
      <c r="DN155" s="126"/>
      <c r="DO155" s="126"/>
      <c r="DP155" s="126"/>
      <c r="DQ155" s="126"/>
      <c r="DR155" s="126"/>
      <c r="DS155" s="210"/>
      <c r="DT155" s="126"/>
      <c r="DU155" s="126"/>
      <c r="DV155" s="126"/>
      <c r="DW155" s="126"/>
      <c r="DX155" s="126"/>
      <c r="DY155" s="126"/>
      <c r="DZ155" s="126"/>
      <c r="EA155" s="126"/>
      <c r="EB155" s="126"/>
      <c r="EC155" s="126"/>
      <c r="ED155" s="126"/>
      <c r="EE155" s="126"/>
      <c r="EF155" s="126"/>
      <c r="EG155" s="126"/>
      <c r="EH155" s="126"/>
      <c r="EI155" s="126"/>
      <c r="EJ155" s="126"/>
      <c r="EK155" s="126"/>
      <c r="EL155" s="126"/>
      <c r="EM155" s="126"/>
      <c r="EN155" s="126"/>
      <c r="EO155" s="126"/>
      <c r="EP155" s="126"/>
      <c r="EQ155" s="126"/>
      <c r="ER155" s="126"/>
      <c r="ES155" s="126"/>
      <c r="ET155" s="126"/>
      <c r="EU155" s="126"/>
      <c r="EV155" s="126"/>
      <c r="EW155" s="126"/>
      <c r="EX155" s="126"/>
      <c r="EY155" s="126"/>
      <c r="EZ155" s="126"/>
      <c r="FA155" s="126"/>
      <c r="FB155" s="126"/>
      <c r="FC155" s="126"/>
      <c r="FD155" s="126"/>
      <c r="FE155" s="126"/>
      <c r="FF155" s="126"/>
      <c r="FG155" s="126"/>
      <c r="FH155" s="126"/>
      <c r="FI155" s="126"/>
      <c r="FJ155" s="126"/>
      <c r="FK155" s="126"/>
      <c r="FL155" s="126"/>
      <c r="FM155" s="126"/>
      <c r="FN155" s="126"/>
      <c r="FO155" s="126"/>
      <c r="FP155" s="126"/>
      <c r="FQ155" s="126"/>
      <c r="FR155" s="126"/>
      <c r="FS155" s="126"/>
      <c r="FT155" s="126"/>
      <c r="FU155" s="126"/>
      <c r="FV155" s="126"/>
      <c r="FW155" s="126"/>
      <c r="FX155" s="126"/>
      <c r="FY155" s="126"/>
      <c r="FZ155" s="126"/>
      <c r="GA155" s="123"/>
    </row>
    <row r="156" s="126" customFormat="1" spans="1:219">
      <c r="B156" s="123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3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  <c r="AP156" s="126"/>
      <c r="AQ156" s="126"/>
      <c r="AR156" s="126"/>
      <c r="AS156" s="126"/>
      <c r="AT156" s="126"/>
      <c r="AU156" s="126"/>
      <c r="AV156" s="126"/>
      <c r="AW156" s="126"/>
      <c r="AX156" s="126"/>
      <c r="AY156" s="126"/>
      <c r="AZ156" s="126"/>
      <c r="BA156" s="126"/>
      <c r="BB156" s="126"/>
      <c r="BC156" s="126"/>
      <c r="BD156" s="126"/>
      <c r="BE156" s="126"/>
      <c r="BF156" s="126"/>
      <c r="BG156" s="126"/>
      <c r="BH156" s="126"/>
      <c r="BI156" s="126"/>
      <c r="BJ156" s="126"/>
      <c r="BK156" s="126"/>
      <c r="BL156" s="126"/>
      <c r="BM156" s="123"/>
      <c r="BN156" s="126"/>
      <c r="BO156" s="126"/>
      <c r="BP156" s="126"/>
      <c r="BQ156" s="126"/>
      <c r="BR156" s="126"/>
      <c r="BS156" s="126"/>
      <c r="BT156" s="126"/>
      <c r="BU156" s="126"/>
      <c r="BV156" s="126"/>
      <c r="BW156" s="126"/>
      <c r="BX156" s="126"/>
      <c r="BY156" s="126"/>
      <c r="BZ156" s="126"/>
      <c r="CA156" s="126"/>
      <c r="CB156" s="126"/>
      <c r="CC156" s="126"/>
      <c r="CD156" s="126"/>
      <c r="CE156" s="126"/>
      <c r="CF156" s="126"/>
      <c r="CG156" s="126"/>
      <c r="CH156" s="126"/>
      <c r="CI156" s="126"/>
      <c r="CJ156" s="126"/>
      <c r="CK156" s="126"/>
      <c r="CL156" s="126"/>
      <c r="CM156" s="126"/>
      <c r="CN156" s="126"/>
      <c r="CO156" s="126"/>
      <c r="CP156" s="126"/>
      <c r="CQ156" s="126"/>
      <c r="CR156" s="126"/>
      <c r="CS156" s="126"/>
      <c r="CT156" s="126"/>
      <c r="CU156" s="126"/>
      <c r="CV156" s="126"/>
      <c r="CW156" s="126"/>
      <c r="CX156" s="126"/>
      <c r="CY156" s="126"/>
      <c r="CZ156" s="126"/>
      <c r="DA156" s="126"/>
      <c r="DB156" s="126"/>
      <c r="DC156" s="126"/>
      <c r="DD156" s="126"/>
      <c r="DE156" s="126"/>
      <c r="DF156" s="126"/>
      <c r="DG156" s="126"/>
      <c r="DH156" s="126"/>
      <c r="DI156" s="126"/>
      <c r="DJ156" s="126"/>
      <c r="DK156" s="126"/>
      <c r="DL156" s="126"/>
      <c r="DM156" s="126"/>
      <c r="DN156" s="126"/>
      <c r="DO156" s="126"/>
      <c r="DP156" s="126"/>
      <c r="DQ156" s="126"/>
      <c r="DR156" s="126"/>
      <c r="DS156" s="210"/>
      <c r="DT156" s="126"/>
      <c r="DU156" s="126"/>
      <c r="DV156" s="126"/>
      <c r="DW156" s="126"/>
      <c r="DX156" s="126"/>
      <c r="DY156" s="126"/>
      <c r="DZ156" s="126"/>
      <c r="EA156" s="126"/>
      <c r="EB156" s="126"/>
      <c r="EC156" s="126"/>
      <c r="ED156" s="126"/>
      <c r="EE156" s="126"/>
      <c r="EF156" s="126"/>
      <c r="EG156" s="126"/>
      <c r="EH156" s="126"/>
      <c r="EI156" s="126"/>
      <c r="EJ156" s="126"/>
      <c r="EK156" s="126"/>
      <c r="EL156" s="126"/>
      <c r="EM156" s="126"/>
      <c r="EN156" s="126"/>
      <c r="EO156" s="126"/>
      <c r="EP156" s="126"/>
      <c r="EQ156" s="126"/>
      <c r="ER156" s="126"/>
      <c r="ES156" s="126"/>
      <c r="ET156" s="126"/>
      <c r="EU156" s="126"/>
      <c r="EV156" s="126"/>
      <c r="EW156" s="126"/>
      <c r="EX156" s="126"/>
      <c r="EY156" s="126"/>
      <c r="EZ156" s="126"/>
      <c r="FA156" s="126"/>
      <c r="FB156" s="126"/>
      <c r="FC156" s="126"/>
      <c r="FD156" s="126"/>
      <c r="FE156" s="126"/>
      <c r="FF156" s="126"/>
      <c r="FG156" s="126"/>
      <c r="FH156" s="126"/>
      <c r="FI156" s="126"/>
      <c r="FJ156" s="126"/>
      <c r="FK156" s="126"/>
      <c r="FL156" s="126"/>
      <c r="FM156" s="126"/>
      <c r="FN156" s="126"/>
      <c r="FO156" s="126"/>
      <c r="FP156" s="126"/>
      <c r="FQ156" s="126"/>
      <c r="FR156" s="126"/>
      <c r="FS156" s="126"/>
      <c r="FT156" s="126"/>
      <c r="FU156" s="126"/>
      <c r="FV156" s="126"/>
      <c r="FW156" s="126"/>
      <c r="FX156" s="126"/>
      <c r="FY156" s="126"/>
      <c r="FZ156" s="126"/>
      <c r="GA156" s="123"/>
    </row>
    <row r="157" s="126" customFormat="1" spans="1:219">
      <c r="B157" s="123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3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/>
      <c r="AT157" s="126"/>
      <c r="AU157" s="126"/>
      <c r="AV157" s="126"/>
      <c r="AW157" s="126"/>
      <c r="AX157" s="126"/>
      <c r="AY157" s="126"/>
      <c r="AZ157" s="126"/>
      <c r="BA157" s="126"/>
      <c r="BB157" s="126"/>
      <c r="BC157" s="126"/>
      <c r="BD157" s="126"/>
      <c r="BE157" s="126"/>
      <c r="BF157" s="126"/>
      <c r="BG157" s="126"/>
      <c r="BH157" s="126"/>
      <c r="BI157" s="126"/>
      <c r="BJ157" s="126"/>
      <c r="BK157" s="126"/>
      <c r="BL157" s="126"/>
      <c r="BM157" s="123"/>
      <c r="BN157" s="126"/>
      <c r="BO157" s="126"/>
      <c r="BP157" s="126"/>
      <c r="BQ157" s="126"/>
      <c r="BR157" s="126"/>
      <c r="BS157" s="126"/>
      <c r="BT157" s="126"/>
      <c r="BU157" s="126"/>
      <c r="BV157" s="126"/>
      <c r="BW157" s="126"/>
      <c r="BX157" s="126"/>
      <c r="BY157" s="126"/>
      <c r="BZ157" s="126"/>
      <c r="CA157" s="126"/>
      <c r="CB157" s="126"/>
      <c r="CC157" s="126"/>
      <c r="CD157" s="126"/>
      <c r="CE157" s="126"/>
      <c r="CF157" s="126"/>
      <c r="CG157" s="126"/>
      <c r="CH157" s="126"/>
      <c r="CI157" s="126"/>
      <c r="CJ157" s="126"/>
      <c r="CK157" s="126"/>
      <c r="CL157" s="126"/>
      <c r="CM157" s="126"/>
      <c r="CN157" s="126"/>
      <c r="CO157" s="126"/>
      <c r="CP157" s="126"/>
      <c r="CQ157" s="126"/>
      <c r="CR157" s="126"/>
      <c r="CS157" s="126"/>
      <c r="CT157" s="126"/>
      <c r="CU157" s="126"/>
      <c r="CV157" s="126"/>
      <c r="CW157" s="126"/>
      <c r="CX157" s="126"/>
      <c r="CY157" s="126"/>
      <c r="CZ157" s="126"/>
      <c r="DA157" s="126"/>
      <c r="DB157" s="126"/>
      <c r="DC157" s="126"/>
      <c r="DD157" s="126"/>
      <c r="DE157" s="126"/>
      <c r="DF157" s="126"/>
      <c r="DG157" s="126"/>
      <c r="DH157" s="126"/>
      <c r="DI157" s="126"/>
      <c r="DJ157" s="126"/>
      <c r="DK157" s="126"/>
      <c r="DL157" s="126"/>
      <c r="DM157" s="126"/>
      <c r="DN157" s="126"/>
      <c r="DO157" s="126"/>
      <c r="DP157" s="126"/>
      <c r="DQ157" s="126"/>
      <c r="DR157" s="126"/>
      <c r="DS157" s="210"/>
      <c r="DT157" s="126"/>
      <c r="DU157" s="126"/>
      <c r="DV157" s="126"/>
      <c r="DW157" s="126"/>
      <c r="DX157" s="126"/>
      <c r="DY157" s="126"/>
      <c r="DZ157" s="126"/>
      <c r="EA157" s="126"/>
      <c r="EB157" s="126"/>
      <c r="EC157" s="126"/>
      <c r="ED157" s="126"/>
      <c r="EE157" s="126"/>
      <c r="EF157" s="126"/>
      <c r="EG157" s="126"/>
      <c r="EH157" s="126"/>
      <c r="EI157" s="126"/>
      <c r="EJ157" s="126"/>
      <c r="EK157" s="126"/>
      <c r="EL157" s="126"/>
      <c r="EM157" s="126"/>
      <c r="EN157" s="126"/>
      <c r="EO157" s="126"/>
      <c r="EP157" s="126"/>
      <c r="EQ157" s="126"/>
      <c r="ER157" s="126"/>
      <c r="ES157" s="126"/>
      <c r="ET157" s="126"/>
      <c r="EU157" s="126"/>
      <c r="EV157" s="126"/>
      <c r="EW157" s="126"/>
      <c r="EX157" s="126"/>
      <c r="EY157" s="126"/>
      <c r="EZ157" s="126"/>
      <c r="FA157" s="126"/>
      <c r="FB157" s="126"/>
      <c r="FC157" s="126"/>
      <c r="FD157" s="126"/>
      <c r="FE157" s="126"/>
      <c r="FF157" s="126"/>
      <c r="FG157" s="126"/>
      <c r="FH157" s="126"/>
      <c r="FI157" s="126"/>
      <c r="FJ157" s="126"/>
      <c r="FK157" s="126"/>
      <c r="FL157" s="126"/>
      <c r="FM157" s="126"/>
      <c r="FN157" s="126"/>
      <c r="FO157" s="126"/>
      <c r="FP157" s="126"/>
      <c r="FQ157" s="126"/>
      <c r="FR157" s="126"/>
      <c r="FS157" s="126"/>
      <c r="FT157" s="126"/>
      <c r="FU157" s="126"/>
      <c r="FV157" s="126"/>
      <c r="FW157" s="126"/>
      <c r="FX157" s="126"/>
      <c r="FY157" s="126"/>
      <c r="FZ157" s="126"/>
      <c r="GA157" s="123"/>
    </row>
    <row r="158" s="126" customFormat="1" spans="1:219">
      <c r="B158" s="123"/>
      <c r="C158" s="126"/>
      <c r="D158" s="126"/>
      <c r="E158" s="126"/>
      <c r="F158" s="126"/>
      <c r="G158" s="126"/>
      <c r="H158" s="126"/>
      <c r="I158" s="126"/>
      <c r="J158" s="126"/>
      <c r="K158" s="126"/>
      <c r="L158" s="123"/>
      <c r="M158" s="126"/>
      <c r="N158" s="126"/>
      <c r="O158" s="126"/>
      <c r="P158" s="126"/>
      <c r="Q158" s="126"/>
      <c r="R158" s="123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  <c r="AP158" s="126"/>
      <c r="AQ158" s="126"/>
      <c r="AR158" s="126"/>
      <c r="AS158" s="126"/>
      <c r="AT158" s="126"/>
      <c r="AU158" s="126"/>
      <c r="AV158" s="126"/>
      <c r="AW158" s="126"/>
      <c r="AX158" s="126"/>
      <c r="AY158" s="126"/>
      <c r="AZ158" s="126"/>
      <c r="BA158" s="126"/>
      <c r="BB158" s="126"/>
      <c r="BC158" s="126"/>
      <c r="BD158" s="126"/>
      <c r="BE158" s="126"/>
      <c r="BF158" s="126"/>
      <c r="BG158" s="126"/>
      <c r="BH158" s="126"/>
      <c r="BI158" s="126"/>
      <c r="BJ158" s="126"/>
      <c r="BK158" s="126"/>
      <c r="BL158" s="126"/>
      <c r="BM158" s="123"/>
      <c r="BN158" s="126"/>
      <c r="BO158" s="126"/>
      <c r="BP158" s="126"/>
      <c r="BQ158" s="126"/>
      <c r="BR158" s="126"/>
      <c r="BS158" s="126"/>
      <c r="BT158" s="126"/>
      <c r="BU158" s="126"/>
      <c r="BV158" s="126"/>
      <c r="BW158" s="126"/>
      <c r="BX158" s="126"/>
      <c r="BY158" s="126"/>
      <c r="BZ158" s="126"/>
      <c r="CA158" s="126"/>
      <c r="CB158" s="126"/>
      <c r="CC158" s="126"/>
      <c r="CD158" s="126"/>
      <c r="CE158" s="126"/>
      <c r="CF158" s="126"/>
      <c r="CG158" s="126"/>
      <c r="CH158" s="126"/>
      <c r="CI158" s="126"/>
      <c r="CJ158" s="126"/>
      <c r="CK158" s="126"/>
      <c r="CL158" s="126"/>
      <c r="CM158" s="126"/>
      <c r="CN158" s="126"/>
      <c r="CO158" s="126"/>
      <c r="CP158" s="126"/>
      <c r="CQ158" s="126"/>
      <c r="CR158" s="126"/>
      <c r="CS158" s="126"/>
      <c r="CT158" s="126"/>
      <c r="CU158" s="126"/>
      <c r="CV158" s="126"/>
      <c r="CW158" s="126"/>
      <c r="CX158" s="126"/>
      <c r="CY158" s="126"/>
      <c r="CZ158" s="126"/>
      <c r="DA158" s="126"/>
      <c r="DB158" s="126"/>
      <c r="DC158" s="126"/>
      <c r="DD158" s="126"/>
      <c r="DE158" s="126"/>
      <c r="DF158" s="126"/>
      <c r="DG158" s="126"/>
      <c r="DH158" s="126"/>
      <c r="DI158" s="126"/>
      <c r="DJ158" s="126"/>
      <c r="DK158" s="126"/>
      <c r="DL158" s="126"/>
      <c r="DM158" s="126"/>
      <c r="DN158" s="126"/>
      <c r="DO158" s="126"/>
      <c r="DP158" s="126"/>
      <c r="DQ158" s="126"/>
      <c r="DR158" s="126"/>
      <c r="DS158" s="210"/>
      <c r="DT158" s="126"/>
      <c r="DU158" s="126"/>
      <c r="DV158" s="126"/>
      <c r="DW158" s="126"/>
      <c r="DX158" s="126"/>
      <c r="DY158" s="126"/>
      <c r="DZ158" s="126"/>
      <c r="EA158" s="126"/>
      <c r="EB158" s="126"/>
      <c r="EC158" s="126"/>
      <c r="ED158" s="126"/>
      <c r="EE158" s="126"/>
      <c r="EF158" s="126"/>
      <c r="EG158" s="126"/>
      <c r="EH158" s="126"/>
      <c r="EI158" s="126"/>
      <c r="EJ158" s="126"/>
      <c r="EK158" s="126"/>
      <c r="EL158" s="126"/>
      <c r="EM158" s="126"/>
      <c r="EN158" s="126"/>
      <c r="EO158" s="126"/>
      <c r="EP158" s="126"/>
      <c r="EQ158" s="126"/>
      <c r="ER158" s="126"/>
      <c r="ES158" s="126"/>
      <c r="ET158" s="126"/>
      <c r="EU158" s="126"/>
      <c r="EV158" s="126"/>
      <c r="EW158" s="126"/>
      <c r="EX158" s="126"/>
      <c r="EY158" s="126"/>
      <c r="EZ158" s="126"/>
      <c r="FA158" s="126"/>
      <c r="FB158" s="126"/>
      <c r="FC158" s="126"/>
      <c r="FD158" s="126"/>
      <c r="FE158" s="126"/>
      <c r="FF158" s="126"/>
      <c r="FG158" s="126"/>
      <c r="FH158" s="126"/>
      <c r="FI158" s="126"/>
      <c r="FJ158" s="126"/>
      <c r="FK158" s="126"/>
      <c r="FL158" s="126"/>
      <c r="FM158" s="126"/>
      <c r="FN158" s="126"/>
      <c r="FO158" s="126"/>
      <c r="FP158" s="126"/>
      <c r="FQ158" s="126"/>
      <c r="FR158" s="126"/>
      <c r="FS158" s="126"/>
      <c r="FT158" s="126"/>
      <c r="FU158" s="126"/>
      <c r="FV158" s="126"/>
      <c r="FW158" s="126"/>
      <c r="FX158" s="126"/>
      <c r="FY158" s="126"/>
      <c r="FZ158" s="126"/>
      <c r="GA158" s="123"/>
      <c r="GB158" s="126"/>
      <c r="GC158" s="126"/>
      <c r="GD158" s="126"/>
      <c r="GS158" s="123"/>
      <c r="HA158" s="123"/>
    </row>
    <row r="159" s="126" customFormat="1" spans="1:219">
      <c r="B159" s="123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3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/>
      <c r="AQ159" s="126"/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  <c r="BC159" s="126"/>
      <c r="BD159" s="126"/>
      <c r="BE159" s="126"/>
      <c r="BF159" s="126"/>
      <c r="BG159" s="126"/>
      <c r="BH159" s="126"/>
      <c r="BI159" s="126"/>
      <c r="BJ159" s="126"/>
      <c r="BK159" s="126"/>
      <c r="BL159" s="126"/>
      <c r="BM159" s="126"/>
      <c r="BN159" s="126"/>
      <c r="BO159" s="126"/>
      <c r="BP159" s="126"/>
      <c r="BQ159" s="126"/>
      <c r="BR159" s="126"/>
      <c r="BS159" s="126"/>
      <c r="BT159" s="126"/>
      <c r="BU159" s="126"/>
      <c r="BV159" s="126"/>
      <c r="BW159" s="126"/>
      <c r="BX159" s="126"/>
      <c r="BY159" s="126"/>
      <c r="BZ159" s="126"/>
      <c r="CA159" s="126"/>
      <c r="CB159" s="126"/>
      <c r="CC159" s="126"/>
      <c r="CD159" s="126"/>
      <c r="CE159" s="126"/>
      <c r="CF159" s="126"/>
      <c r="CG159" s="126"/>
      <c r="CH159" s="126"/>
      <c r="CI159" s="126"/>
      <c r="CJ159" s="126"/>
      <c r="CK159" s="126"/>
      <c r="CL159" s="126"/>
      <c r="CM159" s="126"/>
      <c r="CN159" s="126"/>
      <c r="CO159" s="126"/>
      <c r="CP159" s="126"/>
      <c r="CQ159" s="126"/>
      <c r="CR159" s="126"/>
      <c r="CS159" s="126"/>
      <c r="CT159" s="126"/>
      <c r="CU159" s="126"/>
      <c r="CV159" s="126"/>
      <c r="CW159" s="126"/>
      <c r="CX159" s="126"/>
      <c r="CY159" s="126"/>
      <c r="CZ159" s="126"/>
      <c r="DA159" s="126"/>
      <c r="DB159" s="126"/>
      <c r="DC159" s="126"/>
      <c r="DD159" s="126"/>
      <c r="DE159" s="126"/>
      <c r="DF159" s="126"/>
      <c r="DG159" s="126"/>
      <c r="DH159" s="126"/>
      <c r="DI159" s="126"/>
      <c r="DJ159" s="126"/>
      <c r="DK159" s="126"/>
      <c r="DL159" s="126"/>
      <c r="DM159" s="126"/>
      <c r="DN159" s="126"/>
      <c r="DO159" s="126"/>
      <c r="DP159" s="126"/>
      <c r="DQ159" s="126"/>
      <c r="DR159" s="126"/>
      <c r="DS159" s="210"/>
      <c r="DT159" s="126"/>
      <c r="DU159" s="126"/>
      <c r="DV159" s="126"/>
      <c r="DW159" s="126"/>
      <c r="DX159" s="126"/>
      <c r="DY159" s="126"/>
      <c r="DZ159" s="126"/>
      <c r="EA159" s="126"/>
      <c r="EB159" s="126"/>
      <c r="EC159" s="126"/>
      <c r="ED159" s="126"/>
      <c r="EE159" s="126"/>
      <c r="EF159" s="126"/>
      <c r="EG159" s="126"/>
      <c r="EH159" s="126"/>
      <c r="EI159" s="126"/>
      <c r="EJ159" s="126"/>
      <c r="EK159" s="126"/>
      <c r="EL159" s="126"/>
      <c r="EM159" s="126"/>
      <c r="EN159" s="126"/>
      <c r="EO159" s="126"/>
      <c r="EP159" s="126"/>
      <c r="EQ159" s="126"/>
      <c r="ER159" s="126"/>
      <c r="ES159" s="126"/>
      <c r="ET159" s="126"/>
      <c r="EU159" s="126"/>
      <c r="EV159" s="126"/>
      <c r="EW159" s="126"/>
      <c r="EX159" s="126"/>
      <c r="EY159" s="126"/>
      <c r="EZ159" s="126"/>
      <c r="FA159" s="126"/>
      <c r="FB159" s="126"/>
      <c r="FC159" s="126"/>
      <c r="FD159" s="126"/>
      <c r="FE159" s="126"/>
      <c r="FF159" s="126"/>
      <c r="FG159" s="126"/>
      <c r="FH159" s="126"/>
      <c r="FI159" s="126"/>
      <c r="FJ159" s="126"/>
      <c r="FK159" s="126"/>
      <c r="FL159" s="126"/>
      <c r="FM159" s="126"/>
      <c r="FN159" s="126"/>
      <c r="FO159" s="126"/>
      <c r="FP159" s="126"/>
      <c r="FQ159" s="126"/>
      <c r="FR159" s="126"/>
      <c r="FS159" s="126"/>
      <c r="FT159" s="126"/>
      <c r="FU159" s="126"/>
      <c r="FV159" s="126"/>
      <c r="FW159" s="126"/>
      <c r="FX159" s="126"/>
      <c r="FY159" s="126"/>
      <c r="FZ159" s="126"/>
      <c r="GA159" s="123"/>
      <c r="GB159" s="126"/>
      <c r="GC159" s="126"/>
      <c r="GD159" s="126"/>
      <c r="GQ159" s="123"/>
      <c r="GR159" s="123"/>
      <c r="GS159" s="123"/>
    </row>
    <row r="160" s="126" customFormat="1" spans="1:219">
      <c r="B160" s="123"/>
      <c r="C160" s="126"/>
      <c r="D160" s="126"/>
      <c r="E160" s="126"/>
      <c r="F160" s="126"/>
      <c r="G160" s="126"/>
      <c r="H160" s="126"/>
      <c r="I160" s="126"/>
      <c r="J160" s="126"/>
      <c r="K160" s="126"/>
      <c r="L160" s="123"/>
      <c r="M160" s="126"/>
      <c r="N160" s="126"/>
      <c r="O160" s="126"/>
      <c r="P160" s="126"/>
      <c r="Q160" s="126"/>
      <c r="R160" s="123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  <c r="AP160" s="126"/>
      <c r="AQ160" s="126"/>
      <c r="AR160" s="126"/>
      <c r="AS160" s="126"/>
      <c r="AT160" s="126"/>
      <c r="AU160" s="126"/>
      <c r="AV160" s="126"/>
      <c r="AW160" s="126"/>
      <c r="AX160" s="126"/>
      <c r="AY160" s="126"/>
      <c r="AZ160" s="126"/>
      <c r="BA160" s="126"/>
      <c r="BB160" s="126"/>
      <c r="BC160" s="126"/>
      <c r="BD160" s="126"/>
      <c r="BE160" s="126"/>
      <c r="BF160" s="126"/>
      <c r="BG160" s="126"/>
      <c r="BH160" s="126"/>
      <c r="BI160" s="126"/>
      <c r="BJ160" s="126"/>
      <c r="BK160" s="126"/>
      <c r="BL160" s="126"/>
      <c r="BM160" s="126"/>
      <c r="BN160" s="126"/>
      <c r="BO160" s="126"/>
      <c r="BP160" s="126"/>
      <c r="BQ160" s="126"/>
      <c r="BR160" s="126"/>
      <c r="BS160" s="126"/>
      <c r="BT160" s="126"/>
      <c r="BU160" s="126"/>
      <c r="BV160" s="126"/>
      <c r="BW160" s="126"/>
      <c r="BX160" s="126"/>
      <c r="BY160" s="126"/>
      <c r="BZ160" s="126"/>
      <c r="CA160" s="126"/>
      <c r="CB160" s="126"/>
      <c r="CC160" s="126"/>
      <c r="CD160" s="126"/>
      <c r="CE160" s="126"/>
      <c r="CF160" s="126"/>
      <c r="CG160" s="126"/>
      <c r="CH160" s="126"/>
      <c r="CI160" s="126"/>
      <c r="CJ160" s="126"/>
      <c r="CK160" s="126"/>
      <c r="CL160" s="126"/>
      <c r="CM160" s="126"/>
      <c r="CN160" s="126"/>
      <c r="CO160" s="126"/>
      <c r="CP160" s="126"/>
      <c r="CQ160" s="126"/>
      <c r="CR160" s="126"/>
      <c r="CS160" s="126"/>
      <c r="CT160" s="126"/>
      <c r="CU160" s="126"/>
      <c r="CV160" s="126"/>
      <c r="CW160" s="126"/>
      <c r="CX160" s="126"/>
      <c r="CY160" s="126"/>
      <c r="CZ160" s="126"/>
      <c r="DA160" s="126"/>
      <c r="DB160" s="126"/>
      <c r="DC160" s="126"/>
      <c r="DD160" s="126"/>
      <c r="DE160" s="126"/>
      <c r="DF160" s="126"/>
      <c r="DG160" s="126"/>
      <c r="DH160" s="126"/>
      <c r="DI160" s="126"/>
      <c r="DJ160" s="126"/>
      <c r="DK160" s="126"/>
      <c r="DL160" s="126"/>
      <c r="DM160" s="126"/>
      <c r="DN160" s="126"/>
      <c r="DO160" s="126"/>
      <c r="DP160" s="126"/>
      <c r="DQ160" s="126"/>
      <c r="DR160" s="126"/>
      <c r="DS160" s="210"/>
      <c r="DT160" s="126"/>
      <c r="DU160" s="126"/>
      <c r="DV160" s="126"/>
      <c r="DW160" s="126"/>
      <c r="DX160" s="126"/>
      <c r="DY160" s="126"/>
      <c r="DZ160" s="126"/>
      <c r="EA160" s="126"/>
      <c r="EB160" s="126"/>
      <c r="EC160" s="126"/>
      <c r="ED160" s="126"/>
      <c r="EE160" s="126"/>
      <c r="EF160" s="126"/>
      <c r="EG160" s="126"/>
      <c r="EH160" s="126"/>
      <c r="EI160" s="126"/>
      <c r="EJ160" s="126"/>
      <c r="EK160" s="126"/>
      <c r="EL160" s="126"/>
      <c r="EM160" s="126"/>
      <c r="EN160" s="126"/>
      <c r="EO160" s="126"/>
      <c r="EP160" s="126"/>
      <c r="EQ160" s="126"/>
      <c r="ER160" s="126"/>
      <c r="ES160" s="126"/>
      <c r="ET160" s="126"/>
      <c r="EU160" s="126"/>
      <c r="EV160" s="126"/>
      <c r="EW160" s="126"/>
      <c r="EX160" s="126"/>
      <c r="EY160" s="126"/>
      <c r="EZ160" s="126"/>
      <c r="FA160" s="126"/>
      <c r="FB160" s="126"/>
      <c r="FC160" s="126"/>
      <c r="FD160" s="126"/>
      <c r="FE160" s="126"/>
      <c r="FF160" s="126"/>
      <c r="FG160" s="126"/>
      <c r="FH160" s="126"/>
      <c r="FI160" s="126"/>
      <c r="FJ160" s="126"/>
      <c r="FK160" s="126"/>
      <c r="FL160" s="126"/>
      <c r="FM160" s="126"/>
      <c r="FN160" s="126"/>
      <c r="FO160" s="126"/>
      <c r="FP160" s="126"/>
      <c r="FQ160" s="126"/>
      <c r="FR160" s="126"/>
      <c r="FS160" s="126"/>
      <c r="FT160" s="126"/>
      <c r="FU160" s="126"/>
      <c r="FV160" s="126"/>
      <c r="FW160" s="126"/>
      <c r="FX160" s="126"/>
      <c r="FY160" s="126"/>
      <c r="FZ160" s="126"/>
      <c r="GA160" s="123"/>
      <c r="GB160" s="126"/>
      <c r="GC160" s="126"/>
      <c r="GD160" s="126"/>
      <c r="HA160" s="123"/>
    </row>
    <row r="161" s="126" customFormat="1" spans="2:214">
      <c r="B161" s="123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3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  <c r="BC161" s="126"/>
      <c r="BD161" s="126"/>
      <c r="BE161" s="126"/>
      <c r="BF161" s="126"/>
      <c r="BG161" s="126"/>
      <c r="BH161" s="126"/>
      <c r="BI161" s="126"/>
      <c r="BJ161" s="126"/>
      <c r="BK161" s="126"/>
      <c r="BL161" s="126"/>
      <c r="BM161" s="126"/>
      <c r="BN161" s="126"/>
      <c r="BO161" s="126"/>
      <c r="BP161" s="126"/>
      <c r="BQ161" s="126"/>
      <c r="BR161" s="126"/>
      <c r="BS161" s="126"/>
      <c r="BT161" s="126"/>
      <c r="BU161" s="126"/>
      <c r="BV161" s="126"/>
      <c r="BW161" s="126"/>
      <c r="BX161" s="126"/>
      <c r="BY161" s="126"/>
      <c r="BZ161" s="126"/>
      <c r="CA161" s="126"/>
      <c r="CB161" s="126"/>
      <c r="CC161" s="126"/>
      <c r="CD161" s="126"/>
      <c r="CE161" s="126"/>
      <c r="CF161" s="126"/>
      <c r="CG161" s="126"/>
      <c r="CH161" s="126"/>
      <c r="CI161" s="126"/>
      <c r="CJ161" s="126"/>
      <c r="CK161" s="126"/>
      <c r="CL161" s="126"/>
      <c r="CM161" s="126"/>
      <c r="CN161" s="126"/>
      <c r="CO161" s="126"/>
      <c r="CP161" s="126"/>
      <c r="CQ161" s="126"/>
      <c r="CR161" s="126"/>
      <c r="CS161" s="126"/>
      <c r="CT161" s="126"/>
      <c r="CU161" s="126"/>
      <c r="CV161" s="126"/>
      <c r="CW161" s="126"/>
      <c r="CX161" s="126"/>
      <c r="CY161" s="126"/>
      <c r="CZ161" s="126"/>
      <c r="DA161" s="126"/>
      <c r="DB161" s="126"/>
      <c r="DC161" s="126"/>
      <c r="DD161" s="126"/>
      <c r="DE161" s="126"/>
      <c r="DF161" s="126"/>
      <c r="DG161" s="126"/>
      <c r="DH161" s="126"/>
      <c r="DI161" s="126"/>
      <c r="DJ161" s="126"/>
      <c r="DK161" s="126"/>
      <c r="DL161" s="126"/>
      <c r="DM161" s="126"/>
      <c r="DN161" s="126"/>
      <c r="DO161" s="126"/>
      <c r="DP161" s="126"/>
      <c r="DQ161" s="126"/>
      <c r="DR161" s="126"/>
      <c r="DS161" s="210"/>
      <c r="DT161" s="126"/>
      <c r="DU161" s="126"/>
      <c r="DV161" s="126"/>
      <c r="DW161" s="126"/>
      <c r="DX161" s="126"/>
      <c r="DY161" s="126"/>
      <c r="DZ161" s="126"/>
      <c r="EA161" s="126"/>
      <c r="EB161" s="126"/>
      <c r="EC161" s="126"/>
      <c r="ED161" s="126"/>
      <c r="EE161" s="126"/>
      <c r="EF161" s="126"/>
      <c r="EG161" s="126"/>
      <c r="EH161" s="126"/>
      <c r="EI161" s="126"/>
      <c r="EJ161" s="126"/>
      <c r="EK161" s="126"/>
      <c r="EL161" s="126"/>
      <c r="EM161" s="126"/>
      <c r="EN161" s="126"/>
      <c r="EO161" s="126"/>
      <c r="EP161" s="126"/>
      <c r="EQ161" s="126"/>
      <c r="ER161" s="126"/>
      <c r="ES161" s="126"/>
      <c r="ET161" s="126"/>
      <c r="EU161" s="126"/>
      <c r="EV161" s="126"/>
      <c r="EW161" s="126"/>
      <c r="EX161" s="126"/>
      <c r="EY161" s="126"/>
      <c r="EZ161" s="126"/>
      <c r="FA161" s="126"/>
      <c r="FB161" s="126"/>
      <c r="FC161" s="126"/>
      <c r="FD161" s="126"/>
      <c r="FE161" s="126"/>
      <c r="FF161" s="126"/>
      <c r="FG161" s="126"/>
      <c r="FH161" s="126"/>
      <c r="FI161" s="126"/>
      <c r="FJ161" s="126"/>
      <c r="FK161" s="126"/>
      <c r="FL161" s="126"/>
      <c r="FM161" s="126"/>
      <c r="FN161" s="126"/>
      <c r="FO161" s="126"/>
      <c r="FP161" s="126"/>
      <c r="FQ161" s="126"/>
      <c r="FR161" s="126"/>
      <c r="FS161" s="126"/>
      <c r="FT161" s="126"/>
      <c r="FU161" s="126"/>
      <c r="FV161" s="126"/>
      <c r="FW161" s="126"/>
      <c r="FX161" s="126"/>
      <c r="FY161" s="126"/>
      <c r="FZ161" s="126"/>
      <c r="GA161" s="126"/>
      <c r="GB161" s="126"/>
      <c r="GC161" s="126"/>
      <c r="GD161" s="126"/>
      <c r="HF161" s="123"/>
    </row>
    <row r="162" s="126" customFormat="1" spans="2:214">
      <c r="B162" s="123"/>
      <c r="C162" s="126"/>
      <c r="D162" s="126"/>
      <c r="E162" s="126"/>
      <c r="F162" s="126"/>
      <c r="G162" s="126"/>
      <c r="H162" s="126"/>
      <c r="I162" s="126"/>
      <c r="J162" s="126"/>
      <c r="K162" s="126"/>
      <c r="L162" s="123"/>
      <c r="M162" s="126"/>
      <c r="N162" s="126"/>
      <c r="O162" s="126"/>
      <c r="P162" s="126"/>
      <c r="Q162" s="126"/>
      <c r="R162" s="123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  <c r="AP162" s="126"/>
      <c r="AQ162" s="126"/>
      <c r="AR162" s="126"/>
      <c r="AS162" s="126"/>
      <c r="AT162" s="126"/>
      <c r="AU162" s="126"/>
      <c r="AV162" s="126"/>
      <c r="AW162" s="126"/>
      <c r="AX162" s="126"/>
      <c r="AY162" s="126"/>
      <c r="AZ162" s="126"/>
      <c r="BA162" s="126"/>
      <c r="BB162" s="126"/>
      <c r="BC162" s="126"/>
      <c r="BD162" s="126"/>
      <c r="BE162" s="126"/>
      <c r="BF162" s="126"/>
      <c r="BG162" s="126"/>
      <c r="BH162" s="126"/>
      <c r="BI162" s="126"/>
      <c r="BJ162" s="126"/>
      <c r="BK162" s="126"/>
      <c r="BL162" s="126"/>
      <c r="BM162" s="126"/>
      <c r="BN162" s="126"/>
      <c r="BO162" s="126"/>
      <c r="BP162" s="126"/>
      <c r="BQ162" s="126"/>
      <c r="BR162" s="126"/>
      <c r="BS162" s="126"/>
      <c r="BT162" s="126"/>
      <c r="BU162" s="126"/>
      <c r="BV162" s="126"/>
      <c r="BW162" s="126"/>
      <c r="BX162" s="126"/>
      <c r="BY162" s="126"/>
      <c r="BZ162" s="126"/>
      <c r="CA162" s="126"/>
      <c r="CB162" s="126"/>
      <c r="CC162" s="126"/>
      <c r="CD162" s="126"/>
      <c r="CE162" s="126"/>
      <c r="CF162" s="126"/>
      <c r="CG162" s="126"/>
      <c r="CH162" s="126"/>
      <c r="CI162" s="126"/>
      <c r="CJ162" s="126"/>
      <c r="CK162" s="126"/>
      <c r="CL162" s="126"/>
      <c r="CM162" s="126"/>
      <c r="CN162" s="126"/>
      <c r="CO162" s="126"/>
      <c r="CP162" s="126"/>
      <c r="CQ162" s="126"/>
      <c r="CR162" s="126"/>
      <c r="CS162" s="126"/>
      <c r="CT162" s="126"/>
      <c r="CU162" s="126"/>
      <c r="CV162" s="126"/>
      <c r="CW162" s="126"/>
      <c r="CX162" s="126"/>
      <c r="CY162" s="126"/>
      <c r="CZ162" s="126"/>
      <c r="DA162" s="126"/>
      <c r="DB162" s="126"/>
      <c r="DC162" s="126"/>
      <c r="DD162" s="126"/>
      <c r="DE162" s="126"/>
      <c r="DF162" s="126"/>
      <c r="DG162" s="126"/>
      <c r="DH162" s="126"/>
      <c r="DI162" s="126"/>
      <c r="DJ162" s="126"/>
      <c r="DK162" s="126"/>
      <c r="DL162" s="126"/>
      <c r="DM162" s="126"/>
      <c r="DN162" s="126"/>
      <c r="DO162" s="126"/>
      <c r="DP162" s="126"/>
      <c r="DQ162" s="126"/>
      <c r="DR162" s="126"/>
      <c r="DS162" s="210"/>
    </row>
    <row r="163" s="126" customFormat="1" spans="2:214">
      <c r="B163" s="123"/>
      <c r="C163" s="126"/>
      <c r="D163" s="126"/>
      <c r="E163" s="126"/>
      <c r="F163" s="126"/>
      <c r="G163" s="126"/>
      <c r="H163" s="126"/>
      <c r="I163" s="126"/>
      <c r="J163" s="126"/>
      <c r="K163" s="126"/>
      <c r="L163" s="123"/>
      <c r="M163" s="126"/>
      <c r="N163" s="126"/>
      <c r="O163" s="126"/>
      <c r="P163" s="126"/>
      <c r="Q163" s="126"/>
      <c r="R163" s="123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  <c r="AR163" s="126"/>
      <c r="AS163" s="126"/>
      <c r="AT163" s="126"/>
      <c r="AU163" s="126"/>
      <c r="AV163" s="126"/>
      <c r="AW163" s="126"/>
      <c r="AX163" s="126"/>
      <c r="AY163" s="126"/>
      <c r="AZ163" s="126"/>
      <c r="BA163" s="126"/>
      <c r="BB163" s="126"/>
      <c r="BC163" s="126"/>
      <c r="BD163" s="126"/>
      <c r="BE163" s="126"/>
      <c r="BF163" s="126"/>
      <c r="BG163" s="126"/>
      <c r="BH163" s="126"/>
      <c r="BI163" s="126"/>
      <c r="BJ163" s="126"/>
      <c r="BK163" s="126"/>
      <c r="BL163" s="126"/>
      <c r="BM163" s="126"/>
      <c r="BN163" s="126"/>
      <c r="BO163" s="126"/>
      <c r="BP163" s="126"/>
      <c r="BQ163" s="126"/>
      <c r="BR163" s="126"/>
      <c r="BS163" s="126"/>
      <c r="BT163" s="126"/>
      <c r="BU163" s="126"/>
      <c r="BV163" s="126"/>
      <c r="BW163" s="126"/>
      <c r="BX163" s="126"/>
      <c r="BY163" s="126"/>
      <c r="BZ163" s="126"/>
      <c r="CA163" s="126"/>
      <c r="CB163" s="126"/>
      <c r="CC163" s="126"/>
      <c r="CD163" s="126"/>
      <c r="CE163" s="126"/>
      <c r="CF163" s="126"/>
      <c r="CG163" s="126"/>
      <c r="CH163" s="126"/>
      <c r="CI163" s="126"/>
      <c r="CJ163" s="126"/>
      <c r="CK163" s="126"/>
      <c r="CL163" s="126"/>
      <c r="CM163" s="126"/>
      <c r="CN163" s="126"/>
      <c r="CO163" s="126"/>
      <c r="CP163" s="126"/>
      <c r="CQ163" s="126"/>
      <c r="CR163" s="126"/>
      <c r="CS163" s="126"/>
      <c r="CT163" s="126"/>
      <c r="CU163" s="126"/>
      <c r="CV163" s="126"/>
      <c r="CW163" s="126"/>
      <c r="CX163" s="126"/>
      <c r="CY163" s="126"/>
      <c r="CZ163" s="126"/>
      <c r="DA163" s="126"/>
      <c r="DB163" s="126"/>
      <c r="DC163" s="126"/>
      <c r="DD163" s="126"/>
      <c r="DE163" s="126"/>
      <c r="DF163" s="126"/>
      <c r="DG163" s="126"/>
      <c r="DH163" s="126"/>
      <c r="DI163" s="126"/>
      <c r="DJ163" s="126"/>
      <c r="DK163" s="126"/>
      <c r="DL163" s="126"/>
      <c r="DM163" s="126"/>
      <c r="DN163" s="126"/>
      <c r="DO163" s="126"/>
      <c r="DP163" s="126"/>
      <c r="DQ163" s="126"/>
      <c r="DR163" s="126"/>
      <c r="DS163" s="210"/>
      <c r="DT163" s="126"/>
      <c r="DU163" s="126"/>
      <c r="DV163" s="126"/>
      <c r="DW163" s="126"/>
      <c r="DX163" s="126"/>
      <c r="DY163" s="126"/>
      <c r="DZ163" s="126"/>
      <c r="EA163" s="126"/>
      <c r="EB163" s="126"/>
      <c r="EC163" s="126"/>
      <c r="ED163" s="126"/>
      <c r="EE163" s="126"/>
      <c r="EF163" s="126"/>
      <c r="EG163" s="126"/>
      <c r="EH163" s="126"/>
      <c r="EI163" s="126"/>
      <c r="EJ163" s="126"/>
      <c r="EK163" s="126"/>
      <c r="EL163" s="126"/>
      <c r="EM163" s="126"/>
      <c r="EN163" s="126"/>
      <c r="EO163" s="126"/>
      <c r="EP163" s="126"/>
      <c r="EQ163" s="126"/>
      <c r="ER163" s="126"/>
      <c r="ES163" s="126"/>
      <c r="ET163" s="126"/>
      <c r="EU163" s="126"/>
      <c r="EV163" s="126"/>
      <c r="EW163" s="126"/>
      <c r="EX163" s="126"/>
      <c r="EY163" s="126"/>
      <c r="EZ163" s="126"/>
      <c r="FA163" s="126"/>
      <c r="FB163" s="126"/>
      <c r="FC163" s="126"/>
      <c r="FD163" s="126"/>
      <c r="FE163" s="126"/>
      <c r="FF163" s="126"/>
      <c r="FG163" s="126"/>
      <c r="FH163" s="126"/>
      <c r="FI163" s="126"/>
      <c r="FJ163" s="126"/>
      <c r="FK163" s="126"/>
      <c r="FL163" s="126"/>
      <c r="FM163" s="126"/>
      <c r="FN163" s="126"/>
      <c r="FO163" s="126"/>
      <c r="FP163" s="126"/>
      <c r="FQ163" s="126"/>
      <c r="FR163" s="126"/>
      <c r="FS163" s="126"/>
      <c r="FT163" s="126"/>
      <c r="FU163" s="126"/>
      <c r="FV163" s="126"/>
      <c r="FW163" s="126"/>
      <c r="FX163" s="126"/>
      <c r="FY163" s="126"/>
      <c r="FZ163" s="126"/>
      <c r="GA163" s="123"/>
    </row>
    <row r="164" s="126" customFormat="1" spans="2:214">
      <c r="B164" s="123"/>
      <c r="C164" s="126"/>
      <c r="D164" s="126"/>
      <c r="E164" s="126"/>
      <c r="F164" s="126"/>
      <c r="G164" s="126"/>
      <c r="H164" s="126"/>
      <c r="I164" s="126"/>
      <c r="J164" s="126"/>
      <c r="K164" s="126"/>
      <c r="L164" s="123"/>
      <c r="M164" s="126"/>
      <c r="N164" s="126"/>
      <c r="O164" s="126"/>
      <c r="P164" s="126"/>
      <c r="Q164" s="126"/>
      <c r="R164" s="123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  <c r="AP164" s="126"/>
      <c r="AQ164" s="126"/>
      <c r="AR164" s="126"/>
      <c r="AS164" s="126"/>
      <c r="AT164" s="126"/>
      <c r="AU164" s="126"/>
      <c r="AV164" s="126"/>
      <c r="AW164" s="126"/>
      <c r="AX164" s="126"/>
      <c r="AY164" s="126"/>
      <c r="AZ164" s="126"/>
      <c r="BA164" s="126"/>
      <c r="BB164" s="126"/>
      <c r="BC164" s="126"/>
      <c r="BD164" s="126"/>
      <c r="BE164" s="126"/>
      <c r="BF164" s="126"/>
      <c r="BG164" s="126"/>
      <c r="BH164" s="126"/>
      <c r="BI164" s="126"/>
      <c r="BJ164" s="126"/>
      <c r="BK164" s="126"/>
      <c r="BL164" s="126"/>
      <c r="BM164" s="126"/>
      <c r="BN164" s="126"/>
      <c r="BO164" s="126"/>
      <c r="BP164" s="126"/>
      <c r="BQ164" s="126"/>
      <c r="BR164" s="126"/>
      <c r="BS164" s="126"/>
      <c r="BT164" s="126"/>
      <c r="BU164" s="126"/>
      <c r="BV164" s="126"/>
      <c r="BW164" s="126"/>
      <c r="BX164" s="126"/>
      <c r="BY164" s="126"/>
      <c r="BZ164" s="126"/>
      <c r="CA164" s="126"/>
      <c r="CB164" s="126"/>
      <c r="CC164" s="126"/>
      <c r="CD164" s="126"/>
      <c r="CE164" s="126"/>
      <c r="CF164" s="126"/>
      <c r="CG164" s="126"/>
      <c r="CH164" s="126"/>
      <c r="CI164" s="126"/>
      <c r="CJ164" s="126"/>
      <c r="CK164" s="126"/>
      <c r="CL164" s="126"/>
      <c r="CM164" s="126"/>
      <c r="CN164" s="126"/>
      <c r="CO164" s="126"/>
      <c r="CP164" s="126"/>
      <c r="CQ164" s="126"/>
      <c r="CR164" s="126"/>
      <c r="CS164" s="126"/>
      <c r="CT164" s="126"/>
      <c r="CU164" s="126"/>
      <c r="CV164" s="126"/>
      <c r="CW164" s="126"/>
      <c r="CX164" s="126"/>
      <c r="CY164" s="126"/>
      <c r="CZ164" s="126"/>
      <c r="DA164" s="126"/>
      <c r="DB164" s="126"/>
      <c r="DC164" s="126"/>
      <c r="DD164" s="126"/>
      <c r="DE164" s="126"/>
      <c r="DF164" s="126"/>
      <c r="DG164" s="126"/>
      <c r="DH164" s="126"/>
      <c r="DI164" s="126"/>
      <c r="DJ164" s="126"/>
      <c r="DK164" s="126"/>
      <c r="DL164" s="126"/>
      <c r="DM164" s="126"/>
      <c r="DN164" s="126"/>
      <c r="DO164" s="126"/>
      <c r="DP164" s="126"/>
      <c r="DQ164" s="126"/>
      <c r="DR164" s="126"/>
      <c r="DS164" s="210"/>
      <c r="DT164" s="126"/>
      <c r="DU164" s="126"/>
      <c r="DV164" s="126"/>
      <c r="DW164" s="126"/>
      <c r="DX164" s="126"/>
      <c r="DY164" s="126"/>
      <c r="DZ164" s="126"/>
      <c r="EA164" s="126"/>
      <c r="EB164" s="126"/>
      <c r="EC164" s="126"/>
      <c r="ED164" s="126"/>
      <c r="EE164" s="126"/>
      <c r="EF164" s="126"/>
      <c r="EG164" s="126"/>
      <c r="EH164" s="126"/>
      <c r="EI164" s="126"/>
      <c r="EJ164" s="126"/>
      <c r="EK164" s="126"/>
      <c r="EL164" s="126"/>
      <c r="EM164" s="126"/>
      <c r="EN164" s="126"/>
      <c r="EO164" s="126"/>
      <c r="EP164" s="126"/>
      <c r="EQ164" s="126"/>
      <c r="ER164" s="126"/>
      <c r="ES164" s="126"/>
      <c r="ET164" s="126"/>
      <c r="EU164" s="126"/>
      <c r="EV164" s="126"/>
      <c r="EW164" s="126"/>
      <c r="EX164" s="126"/>
      <c r="EY164" s="126"/>
      <c r="EZ164" s="126"/>
      <c r="FA164" s="126"/>
      <c r="FB164" s="126"/>
      <c r="FC164" s="126"/>
      <c r="FD164" s="126"/>
      <c r="FE164" s="126"/>
      <c r="FF164" s="126"/>
      <c r="FG164" s="126"/>
      <c r="FH164" s="126"/>
      <c r="FI164" s="126"/>
      <c r="FJ164" s="126"/>
      <c r="FK164" s="126"/>
      <c r="FL164" s="126"/>
      <c r="FM164" s="126"/>
      <c r="FN164" s="126"/>
      <c r="FO164" s="126"/>
      <c r="FP164" s="126"/>
      <c r="FQ164" s="126"/>
      <c r="FR164" s="126"/>
      <c r="FS164" s="126"/>
      <c r="FT164" s="126"/>
      <c r="FU164" s="126"/>
      <c r="FV164" s="126"/>
      <c r="FW164" s="126"/>
      <c r="FX164" s="126"/>
      <c r="FY164" s="126"/>
      <c r="FZ164" s="126"/>
      <c r="GA164" s="123"/>
    </row>
    <row r="165" s="126" customFormat="1" spans="2:214">
      <c r="B165" s="123"/>
      <c r="C165" s="126"/>
      <c r="D165" s="126"/>
      <c r="E165" s="126"/>
      <c r="F165" s="126"/>
      <c r="G165" s="126"/>
      <c r="H165" s="126"/>
      <c r="I165" s="126"/>
      <c r="J165" s="126"/>
      <c r="K165" s="126"/>
      <c r="L165" s="123"/>
      <c r="M165" s="126"/>
      <c r="N165" s="126"/>
      <c r="O165" s="126"/>
      <c r="P165" s="126"/>
      <c r="Q165" s="126"/>
      <c r="R165" s="123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  <c r="AP165" s="126"/>
      <c r="AQ165" s="126"/>
      <c r="AR165" s="126"/>
      <c r="AS165" s="126"/>
      <c r="AT165" s="126"/>
      <c r="AU165" s="126"/>
      <c r="AV165" s="126"/>
      <c r="AW165" s="126"/>
      <c r="AX165" s="126"/>
      <c r="AY165" s="126"/>
      <c r="AZ165" s="126"/>
      <c r="BA165" s="126"/>
      <c r="BB165" s="126"/>
      <c r="BC165" s="126"/>
      <c r="BD165" s="126"/>
      <c r="BE165" s="126"/>
      <c r="BF165" s="126"/>
      <c r="BG165" s="126"/>
      <c r="BH165" s="126"/>
      <c r="BI165" s="126"/>
      <c r="BJ165" s="126"/>
      <c r="BK165" s="126"/>
      <c r="BL165" s="126"/>
      <c r="BM165" s="126"/>
      <c r="BN165" s="126"/>
      <c r="BO165" s="126"/>
      <c r="BP165" s="126"/>
      <c r="BQ165" s="126"/>
      <c r="BR165" s="126"/>
      <c r="BS165" s="126"/>
      <c r="BT165" s="126"/>
      <c r="BU165" s="126"/>
      <c r="BV165" s="126"/>
      <c r="BW165" s="126"/>
      <c r="BX165" s="126"/>
      <c r="BY165" s="126"/>
      <c r="BZ165" s="126"/>
      <c r="CA165" s="126"/>
      <c r="CB165" s="126"/>
      <c r="CC165" s="126"/>
      <c r="CD165" s="126"/>
      <c r="CE165" s="126"/>
      <c r="CF165" s="126"/>
      <c r="CG165" s="126"/>
      <c r="CH165" s="126"/>
      <c r="CI165" s="126"/>
      <c r="CJ165" s="126"/>
      <c r="CK165" s="126"/>
      <c r="CL165" s="126"/>
      <c r="CM165" s="126"/>
      <c r="CN165" s="126"/>
      <c r="CO165" s="126"/>
      <c r="CP165" s="126"/>
      <c r="CQ165" s="126"/>
      <c r="CR165" s="126"/>
      <c r="CS165" s="126"/>
      <c r="CT165" s="126"/>
      <c r="CU165" s="126"/>
      <c r="CV165" s="126"/>
      <c r="CW165" s="126"/>
      <c r="CX165" s="126"/>
      <c r="CY165" s="126"/>
      <c r="CZ165" s="126"/>
      <c r="DA165" s="126"/>
      <c r="DB165" s="126"/>
      <c r="DC165" s="126"/>
      <c r="DD165" s="126"/>
      <c r="DE165" s="126"/>
      <c r="DF165" s="126"/>
      <c r="DG165" s="126"/>
      <c r="DH165" s="126"/>
      <c r="DI165" s="126"/>
      <c r="DJ165" s="126"/>
      <c r="DK165" s="126"/>
      <c r="DL165" s="126"/>
      <c r="DM165" s="126"/>
      <c r="DN165" s="126"/>
      <c r="DO165" s="126"/>
      <c r="DP165" s="126"/>
      <c r="DQ165" s="126"/>
      <c r="DR165" s="126"/>
      <c r="DS165" s="210"/>
      <c r="DT165" s="126"/>
      <c r="DU165" s="126"/>
      <c r="DV165" s="126"/>
      <c r="DW165" s="126"/>
      <c r="DX165" s="126"/>
      <c r="DY165" s="126"/>
      <c r="DZ165" s="126"/>
      <c r="EA165" s="126"/>
      <c r="EB165" s="126"/>
      <c r="EC165" s="126"/>
      <c r="ED165" s="126"/>
      <c r="EE165" s="126"/>
      <c r="EF165" s="126"/>
      <c r="EG165" s="126"/>
      <c r="EH165" s="126"/>
      <c r="EI165" s="126"/>
      <c r="EJ165" s="126"/>
      <c r="EK165" s="126"/>
      <c r="EL165" s="126"/>
      <c r="EM165" s="126"/>
      <c r="EN165" s="126"/>
      <c r="EO165" s="126"/>
      <c r="EP165" s="126"/>
      <c r="EQ165" s="126"/>
      <c r="ER165" s="126"/>
      <c r="ES165" s="126"/>
      <c r="ET165" s="126"/>
      <c r="EU165" s="126"/>
      <c r="EV165" s="126"/>
      <c r="EW165" s="126"/>
      <c r="EX165" s="126"/>
      <c r="EY165" s="126"/>
      <c r="EZ165" s="126"/>
      <c r="FA165" s="126"/>
      <c r="FB165" s="126"/>
      <c r="FC165" s="126"/>
      <c r="FD165" s="126"/>
      <c r="FE165" s="126"/>
      <c r="FF165" s="126"/>
      <c r="FG165" s="126"/>
      <c r="FH165" s="126"/>
      <c r="FI165" s="126"/>
      <c r="FJ165" s="126"/>
      <c r="FK165" s="126"/>
      <c r="FL165" s="126"/>
      <c r="FM165" s="126"/>
      <c r="FN165" s="126"/>
      <c r="FO165" s="126"/>
      <c r="FP165" s="126"/>
      <c r="FQ165" s="126"/>
      <c r="FR165" s="126"/>
      <c r="FS165" s="126"/>
      <c r="FT165" s="126"/>
      <c r="FU165" s="126"/>
      <c r="FV165" s="126"/>
      <c r="FW165" s="126"/>
      <c r="FX165" s="126"/>
      <c r="FY165" s="126"/>
      <c r="FZ165" s="126"/>
      <c r="GA165" s="123"/>
    </row>
    <row r="166" s="126" customFormat="1" spans="2:214">
      <c r="B166" s="123"/>
      <c r="C166" s="126"/>
      <c r="D166" s="126"/>
      <c r="E166" s="126"/>
      <c r="F166" s="126"/>
      <c r="G166" s="126"/>
      <c r="H166" s="126"/>
      <c r="I166" s="126"/>
      <c r="J166" s="126"/>
      <c r="K166" s="126"/>
      <c r="L166" s="123"/>
      <c r="M166" s="126"/>
      <c r="N166" s="126"/>
      <c r="O166" s="126"/>
      <c r="P166" s="126"/>
      <c r="Q166" s="126"/>
      <c r="R166" s="123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  <c r="AP166" s="126"/>
      <c r="AQ166" s="126"/>
      <c r="AR166" s="126"/>
      <c r="AS166" s="126"/>
      <c r="AT166" s="126"/>
      <c r="AU166" s="126"/>
      <c r="AV166" s="126"/>
      <c r="AW166" s="126"/>
      <c r="AX166" s="126"/>
      <c r="AY166" s="126"/>
      <c r="AZ166" s="126"/>
      <c r="BA166" s="126"/>
      <c r="BB166" s="126"/>
      <c r="BC166" s="126"/>
      <c r="BD166" s="126"/>
      <c r="BE166" s="126"/>
      <c r="BF166" s="126"/>
      <c r="BG166" s="126"/>
      <c r="BH166" s="126"/>
      <c r="BI166" s="126"/>
      <c r="BJ166" s="126"/>
      <c r="BK166" s="126"/>
      <c r="BL166" s="126"/>
      <c r="BM166" s="126"/>
      <c r="BN166" s="126"/>
      <c r="BO166" s="126"/>
      <c r="BP166" s="126"/>
      <c r="BQ166" s="126"/>
      <c r="BR166" s="126"/>
      <c r="BS166" s="126"/>
      <c r="BT166" s="126"/>
      <c r="BU166" s="126"/>
      <c r="BV166" s="126"/>
      <c r="BW166" s="126"/>
      <c r="BX166" s="126"/>
      <c r="BY166" s="126"/>
      <c r="BZ166" s="126"/>
      <c r="CA166" s="126"/>
      <c r="CB166" s="126"/>
      <c r="CC166" s="126"/>
      <c r="CD166" s="126"/>
      <c r="CE166" s="126"/>
      <c r="CF166" s="126"/>
      <c r="CG166" s="126"/>
      <c r="CH166" s="126"/>
      <c r="CI166" s="126"/>
      <c r="CJ166" s="126"/>
      <c r="CK166" s="126"/>
      <c r="CL166" s="126"/>
      <c r="CM166" s="126"/>
      <c r="CN166" s="126"/>
      <c r="CO166" s="126"/>
      <c r="CP166" s="126"/>
      <c r="CQ166" s="126"/>
      <c r="CR166" s="126"/>
      <c r="CS166" s="126"/>
      <c r="CT166" s="126"/>
      <c r="CU166" s="126"/>
      <c r="CV166" s="126"/>
      <c r="CW166" s="126"/>
      <c r="CX166" s="126"/>
      <c r="CY166" s="126"/>
      <c r="CZ166" s="126"/>
      <c r="DA166" s="126"/>
      <c r="DB166" s="126"/>
      <c r="DC166" s="126"/>
      <c r="DD166" s="126"/>
      <c r="DE166" s="126"/>
      <c r="DF166" s="126"/>
      <c r="DG166" s="126"/>
      <c r="DH166" s="126"/>
      <c r="DI166" s="126"/>
      <c r="DJ166" s="126"/>
      <c r="DK166" s="126"/>
      <c r="DL166" s="126"/>
      <c r="DM166" s="126"/>
      <c r="DN166" s="126"/>
      <c r="DO166" s="126"/>
      <c r="DP166" s="126"/>
      <c r="DQ166" s="126"/>
      <c r="DR166" s="126"/>
      <c r="DS166" s="210"/>
      <c r="DT166" s="126"/>
      <c r="DU166" s="126"/>
      <c r="DV166" s="126"/>
      <c r="DW166" s="126"/>
      <c r="DX166" s="126"/>
      <c r="DY166" s="126"/>
      <c r="DZ166" s="126"/>
      <c r="EA166" s="126"/>
      <c r="EB166" s="126"/>
      <c r="EC166" s="126"/>
      <c r="ED166" s="126"/>
      <c r="EE166" s="126"/>
      <c r="EF166" s="126"/>
      <c r="EG166" s="126"/>
      <c r="EH166" s="126"/>
      <c r="EI166" s="126"/>
      <c r="EJ166" s="126"/>
      <c r="EK166" s="126"/>
      <c r="EL166" s="126"/>
      <c r="EM166" s="126"/>
      <c r="EN166" s="126"/>
      <c r="EO166" s="126"/>
      <c r="EP166" s="126"/>
      <c r="EQ166" s="126"/>
      <c r="ER166" s="126"/>
      <c r="ES166" s="126"/>
      <c r="ET166" s="126"/>
      <c r="EU166" s="126"/>
      <c r="EV166" s="126"/>
      <c r="EW166" s="126"/>
      <c r="EX166" s="126"/>
      <c r="EY166" s="126"/>
      <c r="EZ166" s="126"/>
      <c r="FA166" s="126"/>
      <c r="FB166" s="126"/>
      <c r="FC166" s="126"/>
      <c r="FD166" s="126"/>
      <c r="FE166" s="126"/>
      <c r="FF166" s="126"/>
      <c r="FG166" s="126"/>
      <c r="FH166" s="126"/>
      <c r="FI166" s="126"/>
      <c r="FJ166" s="126"/>
      <c r="FK166" s="126"/>
      <c r="FL166" s="126"/>
      <c r="FM166" s="126"/>
      <c r="FN166" s="126"/>
      <c r="FO166" s="126"/>
      <c r="FP166" s="126"/>
      <c r="FQ166" s="126"/>
      <c r="FR166" s="126"/>
      <c r="FS166" s="126"/>
      <c r="FT166" s="126"/>
      <c r="FU166" s="126"/>
      <c r="FV166" s="126"/>
      <c r="FW166" s="126"/>
      <c r="FX166" s="126"/>
      <c r="FY166" s="126"/>
      <c r="FZ166" s="126"/>
      <c r="GA166" s="123"/>
    </row>
    <row r="167" s="126" customFormat="1" spans="2:214">
      <c r="B167" s="123"/>
      <c r="C167" s="126"/>
      <c r="D167" s="126"/>
      <c r="E167" s="126"/>
      <c r="F167" s="126"/>
      <c r="G167" s="126"/>
      <c r="H167" s="126"/>
      <c r="I167" s="126"/>
      <c r="J167" s="126"/>
      <c r="K167" s="126"/>
      <c r="L167" s="123"/>
      <c r="M167" s="126"/>
      <c r="N167" s="126"/>
      <c r="O167" s="126"/>
      <c r="P167" s="126"/>
      <c r="Q167" s="126"/>
      <c r="R167" s="123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  <c r="AP167" s="126"/>
      <c r="AQ167" s="126"/>
      <c r="AR167" s="126"/>
      <c r="AS167" s="126"/>
      <c r="AT167" s="126"/>
      <c r="AU167" s="126"/>
      <c r="AV167" s="126"/>
      <c r="AW167" s="126"/>
      <c r="AX167" s="126"/>
      <c r="AY167" s="126"/>
      <c r="AZ167" s="126"/>
      <c r="BA167" s="126"/>
      <c r="BB167" s="126"/>
      <c r="BC167" s="126"/>
      <c r="BD167" s="126"/>
      <c r="BE167" s="126"/>
      <c r="BF167" s="126"/>
      <c r="BG167" s="126"/>
      <c r="BH167" s="126"/>
      <c r="BI167" s="126"/>
      <c r="BJ167" s="126"/>
      <c r="BK167" s="126"/>
      <c r="BL167" s="126"/>
      <c r="BM167" s="126"/>
      <c r="BN167" s="126"/>
      <c r="BO167" s="126"/>
      <c r="BP167" s="126"/>
      <c r="BQ167" s="126"/>
      <c r="BR167" s="126"/>
      <c r="BS167" s="126"/>
      <c r="BT167" s="126"/>
      <c r="BU167" s="126"/>
      <c r="BV167" s="126"/>
      <c r="BW167" s="126"/>
      <c r="BX167" s="126"/>
      <c r="BY167" s="126"/>
      <c r="BZ167" s="126"/>
      <c r="CA167" s="126"/>
      <c r="CB167" s="126"/>
      <c r="CC167" s="126"/>
      <c r="CD167" s="126"/>
      <c r="CE167" s="126"/>
      <c r="CF167" s="126"/>
      <c r="CG167" s="126"/>
      <c r="CH167" s="126"/>
      <c r="CI167" s="126"/>
      <c r="CJ167" s="126"/>
      <c r="CK167" s="126"/>
      <c r="CL167" s="126"/>
      <c r="CM167" s="126"/>
      <c r="CN167" s="126"/>
      <c r="CO167" s="126"/>
      <c r="CP167" s="126"/>
      <c r="CQ167" s="126"/>
      <c r="CR167" s="126"/>
      <c r="CS167" s="126"/>
      <c r="CT167" s="126"/>
      <c r="CU167" s="126"/>
      <c r="CV167" s="126"/>
      <c r="CW167" s="126"/>
      <c r="CX167" s="126"/>
      <c r="CY167" s="126"/>
      <c r="CZ167" s="126"/>
      <c r="DA167" s="126"/>
      <c r="DB167" s="126"/>
      <c r="DC167" s="126"/>
      <c r="DD167" s="126"/>
      <c r="DE167" s="126"/>
      <c r="DF167" s="126"/>
      <c r="DG167" s="126"/>
      <c r="DH167" s="126"/>
      <c r="DI167" s="126"/>
      <c r="DJ167" s="126"/>
      <c r="DK167" s="126"/>
      <c r="DL167" s="126"/>
      <c r="DM167" s="126"/>
      <c r="DN167" s="126"/>
      <c r="DO167" s="126"/>
      <c r="DP167" s="126"/>
      <c r="DQ167" s="126"/>
      <c r="DR167" s="126"/>
      <c r="DS167" s="210"/>
      <c r="DT167" s="126"/>
      <c r="DU167" s="126"/>
      <c r="DV167" s="126"/>
      <c r="DW167" s="126"/>
      <c r="DX167" s="126"/>
      <c r="DY167" s="126"/>
      <c r="DZ167" s="126"/>
      <c r="EA167" s="126"/>
      <c r="EB167" s="126"/>
      <c r="EC167" s="126"/>
      <c r="ED167" s="126"/>
      <c r="EE167" s="126"/>
      <c r="EF167" s="126"/>
      <c r="EG167" s="126"/>
      <c r="EH167" s="126"/>
      <c r="EI167" s="126"/>
      <c r="EJ167" s="126"/>
      <c r="EK167" s="126"/>
      <c r="EL167" s="126"/>
      <c r="EM167" s="126"/>
      <c r="EN167" s="126"/>
      <c r="EO167" s="126"/>
      <c r="EP167" s="126"/>
      <c r="EQ167" s="126"/>
      <c r="ER167" s="126"/>
      <c r="ES167" s="126"/>
      <c r="ET167" s="126"/>
      <c r="EU167" s="126"/>
      <c r="EV167" s="126"/>
      <c r="EW167" s="126"/>
      <c r="EX167" s="126"/>
      <c r="EY167" s="126"/>
      <c r="EZ167" s="126"/>
      <c r="FA167" s="126"/>
      <c r="FB167" s="126"/>
      <c r="FC167" s="126"/>
      <c r="FD167" s="126"/>
      <c r="FE167" s="126"/>
      <c r="FF167" s="126"/>
      <c r="FG167" s="126"/>
      <c r="FH167" s="126"/>
      <c r="FI167" s="126"/>
      <c r="FJ167" s="126"/>
      <c r="FK167" s="126"/>
      <c r="FL167" s="126"/>
      <c r="FM167" s="126"/>
      <c r="FN167" s="126"/>
      <c r="FO167" s="126"/>
      <c r="FP167" s="126"/>
      <c r="FQ167" s="126"/>
      <c r="FR167" s="126"/>
      <c r="FS167" s="126"/>
      <c r="FT167" s="126"/>
      <c r="FU167" s="126"/>
      <c r="FV167" s="126"/>
      <c r="FW167" s="126"/>
      <c r="FX167" s="126"/>
      <c r="FY167" s="126"/>
      <c r="FZ167" s="126"/>
      <c r="GA167" s="123"/>
    </row>
    <row r="168" s="126" customFormat="1" spans="2:214">
      <c r="B168" s="123"/>
      <c r="C168" s="126"/>
      <c r="D168" s="126"/>
      <c r="E168" s="126"/>
      <c r="F168" s="126"/>
      <c r="G168" s="126"/>
      <c r="H168" s="126"/>
      <c r="I168" s="126"/>
      <c r="J168" s="126"/>
      <c r="K168" s="126"/>
      <c r="L168" s="123"/>
      <c r="M168" s="126"/>
      <c r="N168" s="126"/>
      <c r="O168" s="126"/>
      <c r="P168" s="126"/>
      <c r="Q168" s="126"/>
      <c r="R168" s="123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  <c r="AP168" s="126"/>
      <c r="AQ168" s="126"/>
      <c r="AR168" s="126"/>
      <c r="AS168" s="126"/>
      <c r="AT168" s="126"/>
      <c r="AU168" s="126"/>
      <c r="AV168" s="126"/>
      <c r="AW168" s="126"/>
      <c r="AX168" s="126"/>
      <c r="AY168" s="126"/>
      <c r="AZ168" s="126"/>
      <c r="BA168" s="126"/>
      <c r="BB168" s="126"/>
      <c r="BC168" s="126"/>
      <c r="BD168" s="126"/>
      <c r="BE168" s="126"/>
      <c r="BF168" s="126"/>
      <c r="BG168" s="126"/>
      <c r="BH168" s="126"/>
      <c r="BI168" s="126"/>
      <c r="BJ168" s="126"/>
      <c r="BK168" s="126"/>
      <c r="BL168" s="126"/>
      <c r="BM168" s="126"/>
      <c r="BN168" s="126"/>
      <c r="BO168" s="126"/>
      <c r="BP168" s="126"/>
      <c r="BQ168" s="126"/>
      <c r="BR168" s="126"/>
      <c r="BS168" s="126"/>
      <c r="BT168" s="126"/>
      <c r="BU168" s="126"/>
      <c r="BV168" s="126"/>
      <c r="BW168" s="126"/>
      <c r="BX168" s="126"/>
      <c r="BY168" s="126"/>
      <c r="BZ168" s="126"/>
      <c r="CA168" s="126"/>
      <c r="CB168" s="126"/>
      <c r="CC168" s="126"/>
      <c r="CD168" s="126"/>
      <c r="CE168" s="126"/>
      <c r="CF168" s="126"/>
      <c r="CG168" s="126"/>
      <c r="CH168" s="126"/>
      <c r="CI168" s="126"/>
      <c r="CJ168" s="126"/>
      <c r="CK168" s="126"/>
      <c r="CL168" s="126"/>
      <c r="CM168" s="126"/>
      <c r="CN168" s="126"/>
      <c r="CO168" s="126"/>
      <c r="CP168" s="126"/>
      <c r="CQ168" s="126"/>
      <c r="CR168" s="126"/>
      <c r="CS168" s="126"/>
      <c r="CT168" s="126"/>
      <c r="CU168" s="126"/>
      <c r="CV168" s="126"/>
      <c r="CW168" s="126"/>
      <c r="CX168" s="126"/>
      <c r="CY168" s="126"/>
      <c r="CZ168" s="126"/>
      <c r="DA168" s="126"/>
      <c r="DB168" s="126"/>
      <c r="DC168" s="126"/>
      <c r="DD168" s="126"/>
      <c r="DE168" s="126"/>
      <c r="DF168" s="126"/>
      <c r="DG168" s="126"/>
      <c r="DH168" s="126"/>
      <c r="DI168" s="126"/>
      <c r="DJ168" s="126"/>
      <c r="DK168" s="126"/>
      <c r="DL168" s="126"/>
      <c r="DM168" s="126"/>
      <c r="DN168" s="126"/>
      <c r="DO168" s="126"/>
      <c r="DP168" s="126"/>
      <c r="DQ168" s="126"/>
      <c r="DR168" s="126"/>
      <c r="DS168" s="210"/>
      <c r="DT168" s="126"/>
      <c r="DU168" s="126"/>
      <c r="DV168" s="126"/>
      <c r="DW168" s="126"/>
      <c r="DX168" s="126"/>
      <c r="DY168" s="126"/>
      <c r="DZ168" s="126"/>
      <c r="EA168" s="126"/>
      <c r="EB168" s="126"/>
      <c r="EC168" s="126"/>
      <c r="ED168" s="126"/>
      <c r="EE168" s="126"/>
      <c r="EF168" s="126"/>
      <c r="EG168" s="126"/>
      <c r="EH168" s="126"/>
      <c r="EI168" s="126"/>
      <c r="EJ168" s="126"/>
      <c r="EK168" s="126"/>
      <c r="EL168" s="126"/>
      <c r="EM168" s="126"/>
      <c r="EN168" s="126"/>
      <c r="EO168" s="126"/>
      <c r="EP168" s="126"/>
      <c r="EQ168" s="126"/>
      <c r="ER168" s="126"/>
      <c r="ES168" s="126"/>
      <c r="ET168" s="126"/>
      <c r="EU168" s="126"/>
      <c r="EV168" s="126"/>
      <c r="EW168" s="126"/>
      <c r="EX168" s="126"/>
      <c r="EY168" s="126"/>
      <c r="EZ168" s="126"/>
      <c r="FA168" s="126"/>
      <c r="FB168" s="126"/>
      <c r="FC168" s="126"/>
      <c r="FD168" s="126"/>
      <c r="FE168" s="126"/>
      <c r="FF168" s="126"/>
      <c r="FG168" s="126"/>
      <c r="FH168" s="126"/>
      <c r="FI168" s="126"/>
      <c r="FJ168" s="126"/>
      <c r="FK168" s="126"/>
      <c r="FL168" s="126"/>
      <c r="FM168" s="126"/>
      <c r="FN168" s="126"/>
      <c r="FO168" s="126"/>
      <c r="FP168" s="126"/>
      <c r="FQ168" s="126"/>
      <c r="FR168" s="126"/>
      <c r="FS168" s="126"/>
      <c r="FT168" s="126"/>
      <c r="FU168" s="126"/>
      <c r="FV168" s="126"/>
      <c r="FW168" s="126"/>
      <c r="FX168" s="126"/>
      <c r="FY168" s="126"/>
      <c r="FZ168" s="126"/>
      <c r="GA168" s="123"/>
    </row>
    <row r="169" s="126" customFormat="1" spans="2:214">
      <c r="B169" s="123"/>
      <c r="C169" s="126"/>
      <c r="D169" s="126"/>
      <c r="E169" s="126"/>
      <c r="F169" s="126"/>
      <c r="G169" s="126"/>
      <c r="H169" s="126"/>
      <c r="I169" s="126"/>
      <c r="J169" s="126"/>
      <c r="K169" s="126"/>
      <c r="L169" s="123"/>
      <c r="M169" s="126"/>
      <c r="N169" s="126"/>
      <c r="O169" s="126"/>
      <c r="P169" s="126"/>
      <c r="Q169" s="126"/>
      <c r="R169" s="123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  <c r="AP169" s="126"/>
      <c r="AQ169" s="126"/>
      <c r="AR169" s="126"/>
      <c r="AS169" s="126"/>
      <c r="AT169" s="126"/>
      <c r="AU169" s="126"/>
      <c r="AV169" s="126"/>
      <c r="AW169" s="126"/>
      <c r="AX169" s="126"/>
      <c r="AY169" s="126"/>
      <c r="AZ169" s="126"/>
      <c r="BA169" s="126"/>
      <c r="BB169" s="126"/>
      <c r="BC169" s="126"/>
      <c r="BD169" s="126"/>
      <c r="BE169" s="126"/>
      <c r="BF169" s="126"/>
      <c r="BG169" s="126"/>
      <c r="BH169" s="126"/>
      <c r="BI169" s="126"/>
      <c r="BJ169" s="126"/>
      <c r="BK169" s="126"/>
      <c r="BL169" s="126"/>
      <c r="BM169" s="126"/>
      <c r="BN169" s="126"/>
      <c r="BO169" s="126"/>
      <c r="BP169" s="126"/>
      <c r="BQ169" s="126"/>
      <c r="BR169" s="126"/>
      <c r="BS169" s="126"/>
      <c r="BT169" s="126"/>
      <c r="BU169" s="126"/>
      <c r="BV169" s="126"/>
      <c r="BW169" s="126"/>
      <c r="BX169" s="126"/>
      <c r="BY169" s="126"/>
      <c r="BZ169" s="126"/>
      <c r="CA169" s="126"/>
      <c r="CB169" s="126"/>
      <c r="CC169" s="126"/>
      <c r="CD169" s="126"/>
      <c r="CE169" s="126"/>
      <c r="CF169" s="126"/>
      <c r="CG169" s="126"/>
      <c r="CH169" s="126"/>
      <c r="CI169" s="126"/>
      <c r="CJ169" s="126"/>
      <c r="CK169" s="126"/>
      <c r="CL169" s="126"/>
      <c r="CM169" s="126"/>
      <c r="CN169" s="126"/>
      <c r="CO169" s="126"/>
      <c r="CP169" s="126"/>
      <c r="CQ169" s="126"/>
      <c r="CR169" s="126"/>
      <c r="CS169" s="126"/>
      <c r="CT169" s="126"/>
      <c r="CU169" s="126"/>
      <c r="CV169" s="126"/>
      <c r="CW169" s="126"/>
      <c r="CX169" s="126"/>
      <c r="CY169" s="126"/>
      <c r="CZ169" s="126"/>
      <c r="DA169" s="126"/>
      <c r="DB169" s="126"/>
      <c r="DC169" s="126"/>
      <c r="DD169" s="126"/>
      <c r="DE169" s="126"/>
      <c r="DF169" s="126"/>
      <c r="DG169" s="126"/>
      <c r="DH169" s="126"/>
      <c r="DI169" s="126"/>
      <c r="DJ169" s="126"/>
      <c r="DK169" s="126"/>
      <c r="DL169" s="126"/>
      <c r="DM169" s="126"/>
      <c r="DN169" s="126"/>
      <c r="DO169" s="126"/>
      <c r="DP169" s="126"/>
      <c r="DQ169" s="126"/>
      <c r="DR169" s="126"/>
      <c r="DS169" s="210"/>
    </row>
    <row r="170" s="126" customFormat="1" spans="2:214">
      <c r="B170" s="123"/>
      <c r="C170" s="126"/>
      <c r="D170" s="126"/>
      <c r="E170" s="126"/>
      <c r="F170" s="126"/>
      <c r="G170" s="126"/>
      <c r="H170" s="126"/>
      <c r="I170" s="126"/>
      <c r="J170" s="126"/>
      <c r="K170" s="126"/>
      <c r="L170" s="123"/>
      <c r="M170" s="126"/>
      <c r="N170" s="126"/>
      <c r="O170" s="126"/>
      <c r="P170" s="126"/>
      <c r="Q170" s="126"/>
      <c r="R170" s="123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  <c r="AP170" s="126"/>
      <c r="AQ170" s="126"/>
      <c r="AR170" s="126"/>
      <c r="AS170" s="126"/>
      <c r="AT170" s="126"/>
      <c r="AU170" s="126"/>
      <c r="AV170" s="126"/>
      <c r="AW170" s="126"/>
      <c r="AX170" s="126"/>
      <c r="AY170" s="126"/>
      <c r="AZ170" s="126"/>
      <c r="BA170" s="126"/>
      <c r="BB170" s="126"/>
      <c r="BC170" s="126"/>
      <c r="BD170" s="126"/>
      <c r="BE170" s="126"/>
      <c r="BF170" s="126"/>
      <c r="BG170" s="126"/>
      <c r="BH170" s="126"/>
      <c r="BI170" s="126"/>
      <c r="BJ170" s="126"/>
      <c r="BK170" s="126"/>
      <c r="BL170" s="126"/>
      <c r="BM170" s="126"/>
      <c r="BN170" s="126"/>
      <c r="BO170" s="126"/>
      <c r="BP170" s="126"/>
      <c r="BQ170" s="126"/>
      <c r="BR170" s="126"/>
      <c r="BS170" s="126"/>
      <c r="BT170" s="126"/>
      <c r="BU170" s="126"/>
      <c r="BV170" s="126"/>
      <c r="BW170" s="126"/>
      <c r="BX170" s="126"/>
      <c r="BY170" s="126"/>
      <c r="BZ170" s="126"/>
      <c r="CA170" s="126"/>
      <c r="CB170" s="126"/>
      <c r="CC170" s="126"/>
      <c r="CD170" s="126"/>
      <c r="CE170" s="126"/>
      <c r="CF170" s="126"/>
      <c r="CG170" s="126"/>
      <c r="CH170" s="126"/>
      <c r="CI170" s="126"/>
      <c r="CJ170" s="126"/>
      <c r="CK170" s="126"/>
      <c r="CL170" s="126"/>
      <c r="CM170" s="126"/>
      <c r="CN170" s="126"/>
      <c r="CO170" s="126"/>
      <c r="CP170" s="126"/>
      <c r="CQ170" s="126"/>
      <c r="CR170" s="126"/>
      <c r="CS170" s="126"/>
      <c r="CT170" s="126"/>
      <c r="CU170" s="126"/>
      <c r="CV170" s="126"/>
      <c r="CW170" s="126"/>
      <c r="CX170" s="126"/>
      <c r="CY170" s="126"/>
      <c r="CZ170" s="126"/>
      <c r="DA170" s="126"/>
      <c r="DB170" s="126"/>
      <c r="DC170" s="126"/>
      <c r="DD170" s="126"/>
      <c r="DE170" s="126"/>
      <c r="DF170" s="126"/>
      <c r="DG170" s="126"/>
      <c r="DH170" s="126"/>
      <c r="DI170" s="126"/>
      <c r="DJ170" s="126"/>
      <c r="DK170" s="126"/>
      <c r="DL170" s="126"/>
      <c r="DM170" s="126"/>
      <c r="DN170" s="126"/>
      <c r="DO170" s="126"/>
      <c r="DP170" s="126"/>
      <c r="DQ170" s="126"/>
      <c r="DR170" s="126"/>
      <c r="DS170" s="210"/>
      <c r="DT170" s="126"/>
      <c r="DU170" s="126"/>
      <c r="DV170" s="126"/>
      <c r="DW170" s="126"/>
      <c r="DX170" s="126"/>
      <c r="DY170" s="126"/>
      <c r="DZ170" s="126"/>
      <c r="EA170" s="126"/>
      <c r="EB170" s="126"/>
      <c r="EC170" s="126"/>
      <c r="ED170" s="126"/>
      <c r="EE170" s="126"/>
      <c r="EF170" s="126"/>
      <c r="EG170" s="126"/>
      <c r="EH170" s="126"/>
      <c r="EI170" s="126"/>
      <c r="EJ170" s="126"/>
      <c r="EK170" s="126"/>
      <c r="EL170" s="126"/>
      <c r="EM170" s="126"/>
      <c r="EN170" s="126"/>
      <c r="EO170" s="126"/>
      <c r="EP170" s="126"/>
      <c r="EQ170" s="126"/>
      <c r="ER170" s="126"/>
      <c r="ES170" s="126"/>
      <c r="ET170" s="126"/>
      <c r="EU170" s="126"/>
      <c r="EV170" s="126"/>
      <c r="EW170" s="126"/>
      <c r="EX170" s="126"/>
      <c r="EY170" s="126"/>
      <c r="EZ170" s="126"/>
      <c r="FA170" s="126"/>
      <c r="FB170" s="126"/>
      <c r="FC170" s="126"/>
      <c r="FD170" s="126"/>
      <c r="FE170" s="126"/>
      <c r="FF170" s="126"/>
      <c r="FG170" s="126"/>
      <c r="FH170" s="126"/>
      <c r="FI170" s="126"/>
      <c r="FJ170" s="126"/>
      <c r="FK170" s="126"/>
      <c r="FL170" s="126"/>
      <c r="FM170" s="126"/>
      <c r="FN170" s="126"/>
      <c r="FO170" s="126"/>
      <c r="FP170" s="126"/>
      <c r="FQ170" s="126"/>
      <c r="FR170" s="126"/>
      <c r="FS170" s="126"/>
      <c r="FT170" s="126"/>
      <c r="FU170" s="126"/>
      <c r="FV170" s="126"/>
      <c r="FW170" s="126"/>
      <c r="FX170" s="126"/>
      <c r="FY170" s="126"/>
      <c r="FZ170" s="126"/>
      <c r="GA170" s="126"/>
      <c r="GB170" s="126"/>
      <c r="GC170" s="126"/>
      <c r="GD170" s="126"/>
      <c r="GS170" s="123"/>
    </row>
    <row r="171" s="126" customFormat="1" spans="2:214">
      <c r="B171" s="123"/>
      <c r="C171" s="126"/>
      <c r="D171" s="126"/>
      <c r="E171" s="126"/>
      <c r="F171" s="126"/>
      <c r="G171" s="126"/>
      <c r="H171" s="126"/>
      <c r="I171" s="126"/>
      <c r="J171" s="126"/>
      <c r="K171" s="126"/>
      <c r="L171" s="123"/>
      <c r="M171" s="126"/>
      <c r="N171" s="126"/>
      <c r="O171" s="126"/>
      <c r="P171" s="126"/>
      <c r="Q171" s="126"/>
      <c r="R171" s="123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  <c r="AP171" s="126"/>
      <c r="AQ171" s="126"/>
      <c r="AR171" s="126"/>
      <c r="AS171" s="126"/>
      <c r="AT171" s="126"/>
      <c r="AU171" s="126"/>
      <c r="AV171" s="126"/>
      <c r="AW171" s="126"/>
      <c r="AX171" s="126"/>
      <c r="AY171" s="126"/>
      <c r="AZ171" s="126"/>
      <c r="BA171" s="126"/>
      <c r="BB171" s="126"/>
      <c r="BC171" s="126"/>
      <c r="BD171" s="126"/>
      <c r="BE171" s="126"/>
      <c r="BF171" s="126"/>
      <c r="BG171" s="126"/>
      <c r="BH171" s="126"/>
      <c r="BI171" s="126"/>
      <c r="BJ171" s="126"/>
      <c r="BK171" s="126"/>
      <c r="BL171" s="126"/>
      <c r="BM171" s="126"/>
      <c r="BN171" s="126"/>
      <c r="BO171" s="126"/>
      <c r="BP171" s="126"/>
      <c r="BQ171" s="126"/>
      <c r="BR171" s="126"/>
      <c r="BS171" s="126"/>
      <c r="BT171" s="126"/>
      <c r="BU171" s="126"/>
      <c r="BV171" s="126"/>
      <c r="BW171" s="126"/>
      <c r="BX171" s="126"/>
      <c r="BY171" s="126"/>
      <c r="BZ171" s="126"/>
      <c r="CA171" s="126"/>
      <c r="CB171" s="126"/>
      <c r="CC171" s="126"/>
      <c r="CD171" s="126"/>
      <c r="CE171" s="126"/>
      <c r="CF171" s="126"/>
      <c r="CG171" s="126"/>
      <c r="CH171" s="126"/>
      <c r="CI171" s="126"/>
      <c r="CJ171" s="126"/>
      <c r="CK171" s="126"/>
      <c r="CL171" s="126"/>
      <c r="CM171" s="126"/>
      <c r="CN171" s="126"/>
      <c r="CO171" s="126"/>
      <c r="CP171" s="126"/>
      <c r="CQ171" s="126"/>
      <c r="CR171" s="126"/>
      <c r="CS171" s="126"/>
      <c r="CT171" s="126"/>
      <c r="CU171" s="126"/>
      <c r="CV171" s="126"/>
      <c r="CW171" s="126"/>
      <c r="CX171" s="126"/>
      <c r="CY171" s="126"/>
      <c r="CZ171" s="126"/>
      <c r="DA171" s="126"/>
      <c r="DB171" s="126"/>
      <c r="DC171" s="126"/>
      <c r="DD171" s="126"/>
      <c r="DE171" s="126"/>
      <c r="DF171" s="126"/>
      <c r="DG171" s="126"/>
      <c r="DH171" s="126"/>
      <c r="DI171" s="126"/>
      <c r="DJ171" s="126"/>
      <c r="DK171" s="126"/>
      <c r="DL171" s="126"/>
      <c r="DM171" s="126"/>
      <c r="DN171" s="126"/>
      <c r="DO171" s="126"/>
      <c r="DP171" s="126"/>
      <c r="DQ171" s="126"/>
      <c r="DR171" s="126"/>
      <c r="DS171" s="210"/>
      <c r="DT171" s="126"/>
      <c r="DU171" s="126"/>
      <c r="DV171" s="126"/>
      <c r="DW171" s="126"/>
      <c r="DX171" s="126"/>
      <c r="DY171" s="126"/>
      <c r="DZ171" s="126"/>
      <c r="EA171" s="126"/>
      <c r="EB171" s="126"/>
      <c r="EC171" s="126"/>
      <c r="ED171" s="126"/>
      <c r="EE171" s="126"/>
      <c r="EF171" s="126"/>
      <c r="EG171" s="126"/>
      <c r="EH171" s="126"/>
      <c r="EI171" s="126"/>
      <c r="EJ171" s="126"/>
      <c r="EK171" s="126"/>
      <c r="EL171" s="126"/>
      <c r="EM171" s="126"/>
      <c r="EN171" s="126"/>
      <c r="EO171" s="126"/>
      <c r="EP171" s="126"/>
      <c r="EQ171" s="126"/>
      <c r="ER171" s="126"/>
      <c r="ES171" s="126"/>
      <c r="ET171" s="126"/>
      <c r="EU171" s="126"/>
      <c r="EV171" s="126"/>
      <c r="EW171" s="126"/>
      <c r="EX171" s="126"/>
      <c r="EY171" s="126"/>
      <c r="EZ171" s="126"/>
      <c r="FA171" s="126"/>
      <c r="FB171" s="126"/>
      <c r="FC171" s="126"/>
      <c r="FD171" s="126"/>
      <c r="FE171" s="126"/>
      <c r="FF171" s="126"/>
      <c r="FG171" s="126"/>
      <c r="FH171" s="126"/>
      <c r="FI171" s="126"/>
      <c r="FJ171" s="126"/>
      <c r="FK171" s="126"/>
      <c r="FL171" s="126"/>
      <c r="FM171" s="126"/>
      <c r="FN171" s="126"/>
      <c r="FO171" s="126"/>
      <c r="FP171" s="126"/>
      <c r="FQ171" s="126"/>
      <c r="FR171" s="126"/>
      <c r="FS171" s="126"/>
      <c r="FT171" s="126"/>
      <c r="FU171" s="126"/>
      <c r="FV171" s="126"/>
      <c r="FW171" s="126"/>
      <c r="FX171" s="126"/>
      <c r="FY171" s="126"/>
      <c r="FZ171" s="126"/>
      <c r="GA171" s="123"/>
    </row>
    <row r="172" s="126" customFormat="1" spans="2:214">
      <c r="B172" s="123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3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/>
      <c r="AT172" s="126"/>
      <c r="AU172" s="126"/>
      <c r="AV172" s="126"/>
      <c r="AW172" s="126"/>
      <c r="AX172" s="126"/>
      <c r="AY172" s="126"/>
      <c r="AZ172" s="126"/>
      <c r="BA172" s="126"/>
      <c r="BB172" s="126"/>
      <c r="BC172" s="126"/>
      <c r="BD172" s="126"/>
      <c r="BE172" s="126"/>
      <c r="BF172" s="126"/>
      <c r="BG172" s="126"/>
      <c r="BH172" s="126"/>
      <c r="BI172" s="126"/>
      <c r="BJ172" s="126"/>
      <c r="BK172" s="126"/>
      <c r="BL172" s="126"/>
      <c r="BM172" s="126"/>
      <c r="BN172" s="126"/>
      <c r="BO172" s="126"/>
      <c r="BP172" s="126"/>
      <c r="BQ172" s="126"/>
      <c r="BR172" s="126"/>
      <c r="BS172" s="126"/>
      <c r="BT172" s="126"/>
      <c r="BU172" s="126"/>
      <c r="BV172" s="126"/>
      <c r="BW172" s="126"/>
      <c r="BX172" s="126"/>
      <c r="BY172" s="126"/>
      <c r="BZ172" s="126"/>
      <c r="CA172" s="126"/>
      <c r="CB172" s="126"/>
      <c r="CC172" s="126"/>
      <c r="CD172" s="126"/>
      <c r="CE172" s="126"/>
      <c r="CF172" s="126"/>
      <c r="CG172" s="126"/>
      <c r="CH172" s="126"/>
      <c r="CI172" s="126"/>
      <c r="CJ172" s="126"/>
      <c r="CK172" s="126"/>
      <c r="CL172" s="126"/>
      <c r="CM172" s="126"/>
      <c r="CN172" s="126"/>
      <c r="CO172" s="126"/>
      <c r="CP172" s="126"/>
      <c r="CQ172" s="126"/>
      <c r="CR172" s="126"/>
      <c r="CS172" s="126"/>
      <c r="CT172" s="126"/>
      <c r="CU172" s="126"/>
      <c r="CV172" s="126"/>
      <c r="CW172" s="126"/>
      <c r="CX172" s="126"/>
      <c r="CY172" s="126"/>
      <c r="CZ172" s="126"/>
      <c r="DA172" s="126"/>
      <c r="DB172" s="126"/>
      <c r="DC172" s="126"/>
      <c r="DD172" s="126"/>
      <c r="DE172" s="126"/>
      <c r="DF172" s="126"/>
      <c r="DG172" s="126"/>
      <c r="DH172" s="126"/>
      <c r="DI172" s="126"/>
      <c r="DJ172" s="126"/>
      <c r="DK172" s="126"/>
      <c r="DL172" s="126"/>
      <c r="DM172" s="126"/>
      <c r="DN172" s="126"/>
      <c r="DO172" s="126"/>
      <c r="DP172" s="126"/>
      <c r="DQ172" s="126"/>
      <c r="DR172" s="126"/>
      <c r="DS172" s="210"/>
      <c r="DT172" s="126"/>
      <c r="DU172" s="126"/>
      <c r="DV172" s="126"/>
      <c r="DW172" s="126"/>
      <c r="DX172" s="126"/>
      <c r="DY172" s="126"/>
      <c r="DZ172" s="126"/>
      <c r="EA172" s="126"/>
      <c r="EB172" s="126"/>
      <c r="EC172" s="126"/>
      <c r="ED172" s="126"/>
      <c r="EE172" s="126"/>
      <c r="EF172" s="126"/>
      <c r="EG172" s="126"/>
      <c r="EH172" s="126"/>
      <c r="EI172" s="126"/>
      <c r="EJ172" s="126"/>
      <c r="EK172" s="126"/>
      <c r="EL172" s="126"/>
      <c r="EM172" s="126"/>
      <c r="EN172" s="126"/>
      <c r="EO172" s="126"/>
      <c r="EP172" s="126"/>
      <c r="EQ172" s="126"/>
      <c r="ER172" s="126"/>
      <c r="ES172" s="126"/>
      <c r="ET172" s="126"/>
      <c r="EU172" s="126"/>
      <c r="EV172" s="126"/>
      <c r="EW172" s="126"/>
      <c r="EX172" s="126"/>
      <c r="EY172" s="126"/>
      <c r="EZ172" s="126"/>
      <c r="FA172" s="126"/>
      <c r="FB172" s="126"/>
      <c r="FC172" s="126"/>
      <c r="FD172" s="126"/>
      <c r="FE172" s="126"/>
      <c r="FF172" s="126"/>
      <c r="FG172" s="126"/>
      <c r="FH172" s="126"/>
      <c r="FI172" s="126"/>
      <c r="FJ172" s="126"/>
      <c r="FK172" s="126"/>
      <c r="FL172" s="126"/>
      <c r="FM172" s="126"/>
      <c r="FN172" s="126"/>
      <c r="FO172" s="126"/>
      <c r="FP172" s="126"/>
      <c r="FQ172" s="126"/>
      <c r="FR172" s="126"/>
      <c r="FS172" s="126"/>
      <c r="FT172" s="126"/>
      <c r="FU172" s="126"/>
      <c r="FV172" s="126"/>
      <c r="FW172" s="126"/>
      <c r="FX172" s="126"/>
      <c r="FY172" s="126"/>
      <c r="FZ172" s="126"/>
      <c r="GA172" s="123"/>
    </row>
  </sheetData>
  <sheetProtection formatCells="0" formatColumns="0" formatRows="0" insertRows="0" insertColumns="0" insertHyperlinks="0" deleteColumns="0" deleteRows="0" sort="0" autoFilter="0" pivotTables="0"/>
  <conditionalFormatting sqref="AV45:AV1048576">
    <cfRule type="colorScale" priority="13">
      <colorScale>
        <cfvo type="min"/>
        <cfvo type="percentile" val="50"/>
        <cfvo type="max"/>
        <color rgb="FF62BF7A"/>
        <color rgb="FFFFEB85"/>
        <color rgb="FFF9686A"/>
      </colorScale>
    </cfRule>
  </conditionalFormatting>
  <conditionalFormatting sqref="AX45:AX1048576">
    <cfRule type="colorScale" priority="12">
      <colorScale>
        <cfvo type="min"/>
        <cfvo type="percentile" val="50"/>
        <cfvo type="max"/>
        <color rgb="FF62BF7A"/>
        <color rgb="FFFFEB85"/>
        <color rgb="FFF9686A"/>
      </colorScale>
    </cfRule>
  </conditionalFormatting>
  <conditionalFormatting sqref="DH3:DH42">
    <cfRule type="colorScale" priority="4">
      <colorScale>
        <cfvo type="min"/>
        <cfvo type="percentile" val="50"/>
        <cfvo type="max"/>
        <color rgb="FFF9686A"/>
        <color rgb="FFEDC97E"/>
        <color rgb="FF62BF7A"/>
      </colorScale>
    </cfRule>
  </conditionalFormatting>
  <conditionalFormatting sqref="DJ3:DJ42">
    <cfRule type="colorScale" priority="3">
      <colorScale>
        <cfvo type="min"/>
        <cfvo type="percentile" val="50"/>
        <cfvo type="max"/>
        <color rgb="FFF9686A"/>
        <color rgb="FFEDC97E"/>
        <color rgb="FF62BF7A"/>
      </colorScale>
    </cfRule>
  </conditionalFormatting>
  <conditionalFormatting sqref="DL3:DL42">
    <cfRule type="colorScale" priority="2">
      <colorScale>
        <cfvo type="min"/>
        <cfvo type="percentile" val="50"/>
        <cfvo type="max"/>
        <color rgb="FFF9686A"/>
        <color rgb="FFEDC97E"/>
        <color rgb="FF62BF7A"/>
      </colorScale>
    </cfRule>
  </conditionalFormatting>
  <conditionalFormatting sqref="DO1:DO44">
    <cfRule type="colorScale" priority="1">
      <colorScale>
        <cfvo type="min"/>
        <cfvo type="percentile" val="50"/>
        <cfvo type="max"/>
        <color rgb="FF62BF7A"/>
        <color rgb="FFFFEB85"/>
        <color rgb="FFF9686A"/>
      </colorScale>
    </cfRule>
  </conditionalFormatting>
  <conditionalFormatting sqref="CW3:DC42">
    <cfRule type="colorScale" priority="5">
      <colorScale>
        <cfvo type="min"/>
        <cfvo type="percentile" val="50"/>
        <cfvo type="max"/>
        <color rgb="FFF9686A"/>
        <color rgb="FFEDC97E"/>
        <color rgb="FF62BF7A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zoomScale="120" zoomScaleNormal="120" workbookViewId="0">
      <selection activeCell="D5" sqref="D5"/>
    </sheetView>
  </sheetViews>
  <sheetFormatPr defaultColWidth="9" defaultRowHeight="14" outlineLevelCol="7"/>
  <cols>
    <col min="1" max="1" width="25.2545454545455" style="106" customWidth="1"/>
    <col min="2" max="2" width="20.5" style="106" customWidth="1"/>
    <col min="3" max="3" width="36.4181818181818" style="106" customWidth="1"/>
    <col min="4" max="4" width="32.5" style="106" customWidth="1"/>
    <col min="5" max="5" width="16.6636363636364" style="107" customWidth="1"/>
    <col min="6" max="6" width="21.4272727272727" style="106" customWidth="1"/>
    <col min="7" max="16384" width="9" style="106"/>
  </cols>
  <sheetData>
    <row r="1" spans="1:8">
      <c r="A1" s="108" t="s">
        <v>597</v>
      </c>
      <c r="B1" s="108" t="s">
        <v>598</v>
      </c>
      <c r="C1" s="108" t="s">
        <v>599</v>
      </c>
      <c r="D1" s="109" t="s">
        <v>600</v>
      </c>
      <c r="E1" s="110" t="s">
        <v>601</v>
      </c>
    </row>
    <row r="2" s="105" customFormat="1" spans="1:8">
      <c r="E2" s="107"/>
    </row>
    <row r="3" ht="28" spans="1:8">
      <c r="A3" s="111" t="s">
        <v>602</v>
      </c>
      <c r="B3" s="111" t="s">
        <v>603</v>
      </c>
      <c r="C3" s="111" t="s">
        <v>204</v>
      </c>
      <c r="D3" s="112" t="s">
        <v>204</v>
      </c>
    </row>
    <row r="4" spans="1:8">
      <c r="A4" s="111"/>
      <c r="B4" s="111"/>
      <c r="C4" s="111" t="s">
        <v>604</v>
      </c>
      <c r="D4" s="112" t="s">
        <v>604</v>
      </c>
    </row>
    <row r="5" spans="1:8">
      <c r="A5" s="111"/>
      <c r="B5" s="111"/>
      <c r="C5" s="111" t="s">
        <v>206</v>
      </c>
      <c r="D5" s="112" t="s">
        <v>206</v>
      </c>
    </row>
    <row r="6" spans="1:8">
      <c r="A6" s="111"/>
      <c r="B6" s="111"/>
      <c r="C6" s="111" t="s">
        <v>605</v>
      </c>
      <c r="D6" s="111" t="s">
        <v>605</v>
      </c>
    </row>
    <row r="7" ht="28" spans="1:8">
      <c r="A7" s="111"/>
      <c r="B7" s="111" t="s">
        <v>606</v>
      </c>
      <c r="C7" s="111" t="s">
        <v>607</v>
      </c>
      <c r="D7" s="112" t="s">
        <v>608</v>
      </c>
      <c r="E7" s="110" t="s">
        <v>609</v>
      </c>
    </row>
    <row r="8" ht="28" spans="1:8">
      <c r="A8" s="111"/>
      <c r="B8" s="111"/>
      <c r="C8" s="111" t="s">
        <v>610</v>
      </c>
      <c r="D8" s="112" t="s">
        <v>611</v>
      </c>
    </row>
    <row r="9" ht="42" spans="1:8">
      <c r="A9" s="111"/>
      <c r="B9" s="111"/>
      <c r="C9" s="111"/>
      <c r="D9" s="111" t="s">
        <v>612</v>
      </c>
      <c r="E9" s="110" t="s">
        <v>613</v>
      </c>
    </row>
    <row r="10" spans="1:8">
      <c r="A10" s="111"/>
      <c r="B10" s="112" t="s">
        <v>614</v>
      </c>
      <c r="C10" s="111" t="s">
        <v>615</v>
      </c>
      <c r="D10" s="111" t="s">
        <v>615</v>
      </c>
    </row>
    <row r="11" spans="1:8">
      <c r="A11" s="111"/>
      <c r="B11" s="111"/>
      <c r="C11" s="111" t="s">
        <v>616</v>
      </c>
      <c r="D11" s="111" t="s">
        <v>616</v>
      </c>
    </row>
    <row r="12" ht="28" spans="1:8">
      <c r="A12" s="111"/>
      <c r="B12" s="111"/>
      <c r="C12" s="111" t="s">
        <v>617</v>
      </c>
      <c r="D12" s="111"/>
    </row>
    <row r="14" ht="28" spans="1:8">
      <c r="A14" s="113" t="s">
        <v>618</v>
      </c>
      <c r="B14" s="113" t="s">
        <v>619</v>
      </c>
      <c r="C14" s="113" t="s">
        <v>620</v>
      </c>
      <c r="D14" s="113" t="s">
        <v>620</v>
      </c>
      <c r="E14" s="110" t="s">
        <v>621</v>
      </c>
      <c r="F14" s="114" t="s">
        <v>622</v>
      </c>
      <c r="G14" s="115"/>
      <c r="H14" s="115"/>
    </row>
    <row r="15" ht="56" spans="1:8">
      <c r="A15" s="113"/>
      <c r="B15" s="113" t="s">
        <v>623</v>
      </c>
      <c r="C15" s="113" t="s">
        <v>624</v>
      </c>
      <c r="D15" s="113" t="s">
        <v>624</v>
      </c>
      <c r="E15" s="110" t="s">
        <v>625</v>
      </c>
      <c r="F15" s="114" t="s">
        <v>626</v>
      </c>
      <c r="G15" s="115"/>
      <c r="H15" s="115"/>
    </row>
    <row r="16" ht="28" spans="1:8">
      <c r="A16" s="113"/>
      <c r="B16" s="113"/>
      <c r="C16" s="113" t="s">
        <v>627</v>
      </c>
      <c r="D16" s="113" t="s">
        <v>627</v>
      </c>
      <c r="E16" s="110" t="s">
        <v>628</v>
      </c>
      <c r="F16" s="114" t="s">
        <v>629</v>
      </c>
      <c r="G16" s="115"/>
      <c r="H16" s="115"/>
    </row>
    <row r="17" ht="28" spans="1:8">
      <c r="A17" s="113"/>
      <c r="B17" s="113"/>
      <c r="C17" s="113"/>
      <c r="D17" s="113"/>
      <c r="E17" s="110" t="s">
        <v>630</v>
      </c>
      <c r="F17" s="115" t="s">
        <v>630</v>
      </c>
      <c r="G17" s="115"/>
      <c r="H17" s="115"/>
    </row>
    <row r="18" s="105" customFormat="1" spans="1:8">
      <c r="E18" s="107"/>
      <c r="F18" s="116"/>
      <c r="G18" s="117"/>
      <c r="H18" s="117"/>
    </row>
    <row r="19" spans="1:8">
      <c r="A19" s="118" t="s">
        <v>631</v>
      </c>
      <c r="B19" s="118" t="s">
        <v>632</v>
      </c>
      <c r="C19" s="118" t="s">
        <v>239</v>
      </c>
      <c r="D19" s="118" t="s">
        <v>239</v>
      </c>
      <c r="F19" s="114"/>
      <c r="G19" s="115"/>
      <c r="H19" s="115"/>
    </row>
    <row r="20" spans="1:8">
      <c r="A20" s="118"/>
      <c r="B20" s="118"/>
      <c r="C20" s="118" t="s">
        <v>633</v>
      </c>
      <c r="D20" s="118" t="s">
        <v>633</v>
      </c>
      <c r="F20" s="115"/>
      <c r="G20" s="115"/>
      <c r="H20" s="115"/>
    </row>
    <row r="21" ht="28" spans="1:8">
      <c r="A21" s="118"/>
      <c r="B21" s="118"/>
      <c r="C21" s="118" t="s">
        <v>241</v>
      </c>
      <c r="D21" s="118" t="s">
        <v>241</v>
      </c>
      <c r="F21" s="115"/>
      <c r="G21" s="115"/>
      <c r="H21" s="115"/>
    </row>
    <row r="22" spans="1:8">
      <c r="A22" s="118"/>
      <c r="B22" s="118"/>
      <c r="C22" s="118" t="s">
        <v>634</v>
      </c>
      <c r="D22" s="118"/>
    </row>
    <row r="23" ht="42" spans="1:8">
      <c r="A23" s="118"/>
      <c r="B23" s="118" t="s">
        <v>635</v>
      </c>
      <c r="C23" s="118" t="s">
        <v>636</v>
      </c>
      <c r="D23" s="118" t="s">
        <v>636</v>
      </c>
      <c r="E23" s="110" t="s">
        <v>637</v>
      </c>
    </row>
    <row r="24" spans="1:8">
      <c r="A24" s="118"/>
      <c r="B24" s="118" t="s">
        <v>638</v>
      </c>
      <c r="C24" s="118" t="s">
        <v>639</v>
      </c>
      <c r="D24" s="118" t="s">
        <v>639</v>
      </c>
    </row>
    <row r="25" spans="1:8">
      <c r="A25" s="118"/>
      <c r="B25" s="118" t="s">
        <v>640</v>
      </c>
      <c r="C25" s="118" t="s">
        <v>641</v>
      </c>
      <c r="D25" s="118" t="s">
        <v>641</v>
      </c>
    </row>
    <row r="26" ht="28" spans="1:8">
      <c r="A26" s="118"/>
      <c r="B26" s="118"/>
      <c r="C26" s="118" t="s">
        <v>642</v>
      </c>
      <c r="D26" s="118" t="s">
        <v>642</v>
      </c>
    </row>
    <row r="27" ht="28" spans="1:8">
      <c r="A27" s="118"/>
      <c r="B27" s="118" t="s">
        <v>643</v>
      </c>
      <c r="C27" s="118" t="s">
        <v>644</v>
      </c>
      <c r="D27" s="118" t="s">
        <v>644</v>
      </c>
    </row>
    <row r="28" spans="1:8">
      <c r="A28" s="118"/>
      <c r="B28" s="118" t="s">
        <v>645</v>
      </c>
      <c r="C28" s="118" t="s">
        <v>646</v>
      </c>
      <c r="D28" s="118" t="s">
        <v>646</v>
      </c>
    </row>
    <row r="29" ht="28" spans="1:8">
      <c r="A29" s="118"/>
      <c r="B29" s="118"/>
      <c r="C29" s="118" t="s">
        <v>647</v>
      </c>
      <c r="D29" s="118" t="s">
        <v>647</v>
      </c>
    </row>
    <row r="30" ht="28" spans="1:8">
      <c r="A30" s="118"/>
      <c r="B30" s="118"/>
      <c r="C30" s="118" t="s">
        <v>648</v>
      </c>
      <c r="D30" s="118" t="s">
        <v>648</v>
      </c>
    </row>
    <row r="31" ht="28" spans="1:8">
      <c r="A31" s="118"/>
      <c r="B31" s="118"/>
      <c r="C31" s="118" t="s">
        <v>649</v>
      </c>
      <c r="D31" s="118" t="s">
        <v>649</v>
      </c>
    </row>
    <row r="32" spans="1:8">
      <c r="A32" s="118"/>
      <c r="B32" s="118" t="s">
        <v>650</v>
      </c>
      <c r="C32" s="118" t="s">
        <v>251</v>
      </c>
      <c r="D32" s="118" t="s">
        <v>251</v>
      </c>
    </row>
    <row r="33" spans="1:5">
      <c r="A33" s="118"/>
      <c r="B33" s="118"/>
      <c r="C33" s="118" t="s">
        <v>252</v>
      </c>
      <c r="D33" s="118" t="s">
        <v>252</v>
      </c>
    </row>
    <row r="35" ht="28" spans="1:5">
      <c r="A35" s="119" t="s">
        <v>651</v>
      </c>
      <c r="B35" s="119" t="s">
        <v>652</v>
      </c>
      <c r="C35" s="120" t="s">
        <v>653</v>
      </c>
      <c r="D35" s="120" t="s">
        <v>653</v>
      </c>
    </row>
    <row r="36" spans="1:5">
      <c r="A36" s="119"/>
      <c r="B36" s="119"/>
      <c r="C36" s="120" t="s">
        <v>654</v>
      </c>
      <c r="D36" s="120" t="s">
        <v>655</v>
      </c>
    </row>
    <row r="37" ht="28" spans="1:5">
      <c r="A37" s="119"/>
      <c r="B37" s="119"/>
      <c r="C37" s="120"/>
      <c r="D37" s="120" t="s">
        <v>656</v>
      </c>
    </row>
    <row r="38" ht="28" spans="1:5">
      <c r="A38" s="119"/>
      <c r="B38" s="119" t="s">
        <v>657</v>
      </c>
      <c r="C38" s="120" t="s">
        <v>658</v>
      </c>
      <c r="D38" s="120" t="s">
        <v>658</v>
      </c>
    </row>
    <row r="39" ht="28" spans="1:5">
      <c r="A39" s="119"/>
      <c r="B39" s="119"/>
      <c r="C39" s="120"/>
      <c r="D39" s="120" t="s">
        <v>263</v>
      </c>
    </row>
    <row r="40" spans="1:5">
      <c r="A40" s="119"/>
      <c r="B40" s="119"/>
      <c r="C40" s="120"/>
      <c r="D40" s="120" t="s">
        <v>659</v>
      </c>
    </row>
    <row r="41" ht="28" spans="1:5">
      <c r="A41" s="119"/>
      <c r="B41" s="119"/>
      <c r="C41" s="120" t="s">
        <v>660</v>
      </c>
      <c r="D41" s="120" t="s">
        <v>661</v>
      </c>
    </row>
    <row r="42" spans="1:5">
      <c r="A42" s="119"/>
      <c r="B42" s="119" t="s">
        <v>662</v>
      </c>
      <c r="C42" s="119" t="s">
        <v>276</v>
      </c>
      <c r="D42" s="121" t="s">
        <v>276</v>
      </c>
    </row>
    <row r="43" spans="1:5">
      <c r="A43" s="119"/>
      <c r="B43" s="119"/>
      <c r="C43" s="119" t="s">
        <v>663</v>
      </c>
      <c r="D43" s="121" t="s">
        <v>664</v>
      </c>
    </row>
    <row r="44" ht="28" spans="1:5">
      <c r="A44" s="119"/>
      <c r="B44" s="119"/>
      <c r="C44" s="119" t="s">
        <v>665</v>
      </c>
      <c r="D44" s="120" t="s">
        <v>666</v>
      </c>
    </row>
    <row r="45" spans="1:5">
      <c r="A45" s="119"/>
      <c r="B45" s="119"/>
      <c r="C45" s="119"/>
      <c r="D45" s="120" t="s">
        <v>667</v>
      </c>
    </row>
    <row r="46" spans="1:5">
      <c r="A46" s="119"/>
      <c r="B46" s="119"/>
      <c r="C46" s="119"/>
      <c r="D46" s="120" t="s">
        <v>668</v>
      </c>
    </row>
    <row r="47" spans="1:5">
      <c r="A47" s="119"/>
      <c r="B47" s="119" t="s">
        <v>669</v>
      </c>
      <c r="C47" s="119" t="s">
        <v>670</v>
      </c>
      <c r="D47" s="119" t="s">
        <v>670</v>
      </c>
    </row>
    <row r="48" ht="28" spans="1:5">
      <c r="A48" s="119"/>
      <c r="B48" s="119"/>
      <c r="C48" s="119" t="s">
        <v>671</v>
      </c>
      <c r="D48" s="119" t="s">
        <v>671</v>
      </c>
      <c r="E48" s="110" t="s">
        <v>672</v>
      </c>
    </row>
    <row r="49" ht="28" spans="1:4">
      <c r="A49" s="119"/>
      <c r="B49" s="119" t="s">
        <v>673</v>
      </c>
      <c r="C49" s="119" t="s">
        <v>286</v>
      </c>
      <c r="D49" s="119" t="s">
        <v>286</v>
      </c>
    </row>
    <row r="50" ht="28" spans="1:4">
      <c r="A50" s="119"/>
      <c r="B50" s="120"/>
      <c r="C50" s="119"/>
      <c r="D50" s="120" t="s">
        <v>674</v>
      </c>
    </row>
    <row r="51" ht="28" spans="1:4">
      <c r="A51" s="119"/>
      <c r="B51" s="120"/>
      <c r="C51" s="119" t="s">
        <v>675</v>
      </c>
      <c r="D51" s="120" t="s">
        <v>288</v>
      </c>
    </row>
    <row r="52" ht="28" spans="1:4">
      <c r="A52" s="119"/>
      <c r="B52" s="119"/>
      <c r="C52" s="119" t="s">
        <v>676</v>
      </c>
      <c r="D52" s="120"/>
    </row>
    <row r="53" spans="1:4">
      <c r="A53" s="119"/>
      <c r="B53" s="120"/>
      <c r="C53" s="119"/>
      <c r="D53" s="120"/>
    </row>
    <row r="54" spans="1:4">
      <c r="A54" s="119"/>
      <c r="B54" s="119"/>
      <c r="C54" s="119"/>
      <c r="D54" s="12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353"/>
  <sheetViews>
    <sheetView zoomScale="60" zoomScaleNormal="60" topLeftCell="AT1" workbookViewId="0">
      <selection activeCell="AT1" sqref="AT1"/>
    </sheetView>
  </sheetViews>
  <sheetFormatPr defaultColWidth="9" defaultRowHeight="14"/>
  <cols>
    <col min="1" max="1" width="9" style="24"/>
    <col min="2" max="2" width="12.6272727272727"/>
    <col min="3" max="4" width="9" style="25"/>
    <col min="5" max="5" width="9" style="26"/>
    <col min="6" max="6" width="9" style="25"/>
    <col min="7" max="9" width="12.6272727272727" style="27"/>
    <col min="11" max="11" width="9" style="28"/>
    <col min="12" max="12" width="12.6272727272727" style="29"/>
    <col min="13" max="13" width="9" style="30"/>
    <col min="14" max="14" width="12.6272727272727" style="31"/>
    <col min="15" max="15" width="12.6272727272727" style="32"/>
    <col min="16" max="18" width="12.6272727272727" style="33"/>
    <col min="19" max="19" width="9" style="34"/>
    <col min="20" max="20" width="9" style="33"/>
    <col min="21" max="21" width="12.6272727272727" style="33"/>
    <col min="22" max="22" width="9" style="35"/>
    <col min="23" max="23" width="9" style="36"/>
    <col min="24" max="24" width="9" style="37"/>
    <col min="25" max="25" width="12.6272727272727" style="38"/>
    <col min="26" max="26" width="9" style="38"/>
    <col min="27" max="27" width="12.6272727272727" style="38"/>
    <col min="28" max="28" width="9" style="38"/>
    <col min="29" max="30" width="11.1272727272727" style="38"/>
    <col min="31" max="31" width="9" style="39"/>
    <col min="32" max="32" width="11.1272727272727" style="38"/>
    <col min="33" max="33" width="9" style="36"/>
    <col min="40" max="40" width="9" style="40"/>
    <col min="41" max="41" width="9" style="41"/>
    <col min="42" max="42" width="12.6272727272727" style="42"/>
    <col min="43" max="43" width="9" style="30"/>
    <col min="44" max="44" width="12.6272727272727" style="43"/>
    <col min="45" max="45" width="11.1272727272727" style="44"/>
    <col min="46" max="46" width="11.1272727272727" style="45"/>
    <col min="48" max="48" width="11.1272727272727" style="45"/>
    <col min="49" max="49" width="9" style="40"/>
  </cols>
  <sheetData>
    <row r="1" spans="1:49">
      <c r="W1" s="46"/>
      <c r="X1" s="47"/>
      <c r="Y1" s="48"/>
      <c r="Z1" s="48"/>
      <c r="AA1" s="48"/>
      <c r="AB1" s="48"/>
      <c r="AC1" s="48"/>
      <c r="AD1" s="48"/>
      <c r="AE1" s="49"/>
      <c r="AF1" s="48"/>
      <c r="AG1" s="46"/>
      <c r="AN1" s="50" t="s">
        <v>0</v>
      </c>
      <c r="AO1" s="51"/>
      <c r="AP1" s="52" t="s">
        <v>677</v>
      </c>
      <c r="AQ1" s="53"/>
      <c r="AR1" s="52"/>
      <c r="AS1" s="54"/>
      <c r="AT1" s="55"/>
      <c r="AV1" s="55"/>
      <c r="AW1" s="50" t="s">
        <v>0</v>
      </c>
    </row>
    <row r="2" ht="28" spans="1:49">
      <c r="A2" s="56" t="s">
        <v>678</v>
      </c>
      <c r="B2" s="57" t="s">
        <v>679</v>
      </c>
      <c r="C2" s="58" t="s">
        <v>680</v>
      </c>
      <c r="D2" s="59" t="s">
        <v>681</v>
      </c>
      <c r="E2" s="60" t="s">
        <v>682</v>
      </c>
      <c r="F2" s="59" t="s">
        <v>683</v>
      </c>
      <c r="G2" s="61" t="s">
        <v>684</v>
      </c>
      <c r="H2" s="61" t="s">
        <v>685</v>
      </c>
      <c r="I2" s="61"/>
      <c r="K2" s="62" t="s">
        <v>686</v>
      </c>
      <c r="L2" s="63" t="s">
        <v>679</v>
      </c>
      <c r="M2" s="64" t="s">
        <v>687</v>
      </c>
      <c r="N2" s="60" t="s">
        <v>688</v>
      </c>
      <c r="O2" s="65" t="s">
        <v>689</v>
      </c>
      <c r="P2" s="66"/>
      <c r="Q2" s="66"/>
      <c r="V2" s="67" t="s">
        <v>690</v>
      </c>
      <c r="W2" s="68" t="s">
        <v>678</v>
      </c>
      <c r="X2" s="69" t="s">
        <v>691</v>
      </c>
      <c r="Y2" s="70" t="s">
        <v>679</v>
      </c>
      <c r="Z2" s="70" t="s">
        <v>692</v>
      </c>
      <c r="AA2" s="70" t="s">
        <v>693</v>
      </c>
      <c r="AB2" s="70" t="s">
        <v>694</v>
      </c>
      <c r="AC2" s="70" t="s">
        <v>695</v>
      </c>
      <c r="AD2" s="70"/>
      <c r="AE2" s="71" t="s">
        <v>696</v>
      </c>
      <c r="AF2" s="70" t="s">
        <v>695</v>
      </c>
      <c r="AG2" s="68" t="s">
        <v>678</v>
      </c>
      <c r="AI2" s="72" t="s">
        <v>697</v>
      </c>
      <c r="AJ2" s="72" t="s">
        <v>698</v>
      </c>
      <c r="AM2" s="72" t="s">
        <v>699</v>
      </c>
      <c r="AN2" s="73" t="s">
        <v>678</v>
      </c>
      <c r="AO2" s="74" t="s">
        <v>197</v>
      </c>
      <c r="AP2" s="75" t="s">
        <v>679</v>
      </c>
      <c r="AQ2" s="64" t="s">
        <v>692</v>
      </c>
      <c r="AR2" s="76" t="s">
        <v>688</v>
      </c>
      <c r="AS2" s="77" t="s">
        <v>689</v>
      </c>
      <c r="AT2" s="78" t="s">
        <v>695</v>
      </c>
      <c r="AV2" s="78" t="s">
        <v>695</v>
      </c>
      <c r="AW2" s="73" t="s">
        <v>678</v>
      </c>
    </row>
    <row r="3" spans="1:49">
      <c r="A3" s="79" t="s">
        <v>289</v>
      </c>
      <c r="B3" s="26">
        <v>100</v>
      </c>
      <c r="C3" s="25">
        <v>80</v>
      </c>
      <c r="D3" s="25">
        <v>30</v>
      </c>
      <c r="E3" s="26">
        <v>83</v>
      </c>
      <c r="F3" s="26">
        <v>69.7142857142857</v>
      </c>
      <c r="G3" s="80">
        <f>AVERAGE(B3,C3,E3,F3)</f>
        <v>83.1785714285714</v>
      </c>
      <c r="H3" s="27">
        <f>AVERAGE(B3,D3,E3,F3)</f>
        <v>70.6785714285714</v>
      </c>
      <c r="K3" s="28" t="s">
        <v>289</v>
      </c>
      <c r="L3" s="32">
        <v>100</v>
      </c>
      <c r="M3" s="30">
        <v>31</v>
      </c>
      <c r="N3" s="31">
        <v>85.5714285714286</v>
      </c>
      <c r="O3" s="32">
        <v>61.4</v>
      </c>
      <c r="P3" s="33">
        <f>AVERAGE(L3:O3)</f>
        <v>69.4928571428571</v>
      </c>
      <c r="W3" s="46" t="s">
        <v>700</v>
      </c>
      <c r="X3" s="81" t="s">
        <v>290</v>
      </c>
      <c r="Y3" s="48">
        <v>100</v>
      </c>
      <c r="Z3" s="48">
        <v>27.5</v>
      </c>
      <c r="AA3" s="48">
        <v>87.5</v>
      </c>
      <c r="AB3" s="48">
        <v>61.4</v>
      </c>
      <c r="AC3" s="70">
        <v>69.1</v>
      </c>
      <c r="AD3" s="70"/>
      <c r="AE3" s="49">
        <v>1</v>
      </c>
      <c r="AF3" s="70">
        <v>69.1</v>
      </c>
      <c r="AG3" s="46" t="s">
        <v>700</v>
      </c>
      <c r="AI3" s="72" t="s">
        <v>289</v>
      </c>
      <c r="AN3" s="82" t="s">
        <v>289</v>
      </c>
      <c r="AO3" s="83" t="s">
        <v>290</v>
      </c>
      <c r="AP3" s="43">
        <v>100</v>
      </c>
      <c r="AQ3" s="30">
        <v>27.5</v>
      </c>
      <c r="AR3" s="43">
        <v>87.5238095238095</v>
      </c>
      <c r="AS3" s="77">
        <v>60.2</v>
      </c>
      <c r="AT3" s="78">
        <v>68.8059523809524</v>
      </c>
      <c r="AV3" s="78">
        <v>68.8059523809524</v>
      </c>
      <c r="AW3" s="82" t="s">
        <v>289</v>
      </c>
    </row>
    <row r="4" spans="1:49">
      <c r="A4" s="24" t="s">
        <v>296</v>
      </c>
      <c r="B4" s="26">
        <v>57</v>
      </c>
      <c r="C4" s="25">
        <v>95.5</v>
      </c>
      <c r="D4" s="25">
        <v>45.5</v>
      </c>
      <c r="E4" s="26">
        <v>86.1428571428571</v>
      </c>
      <c r="F4" s="26">
        <v>63.7142857142857</v>
      </c>
      <c r="G4" s="27">
        <f t="shared" ref="G4:G42" si="0">AVERAGE(B4,C4,E4,F4)</f>
        <v>75.5892857142857</v>
      </c>
      <c r="H4" s="27">
        <f t="shared" ref="H4:H42" si="1">AVERAGE(B4,D4,E4,F4)</f>
        <v>63.0892857142857</v>
      </c>
      <c r="K4" s="28" t="s">
        <v>296</v>
      </c>
      <c r="L4" s="32">
        <v>61.6666666666667</v>
      </c>
      <c r="M4" s="30">
        <v>40.5</v>
      </c>
      <c r="N4" s="31">
        <v>90</v>
      </c>
      <c r="O4" s="32">
        <v>62.2</v>
      </c>
      <c r="P4" s="33">
        <f t="shared" ref="P4:P42" si="2">AVERAGE(L4:O4)</f>
        <v>63.5916666666667</v>
      </c>
      <c r="W4" s="46" t="s">
        <v>701</v>
      </c>
      <c r="X4" s="81" t="s">
        <v>297</v>
      </c>
      <c r="Y4" s="48">
        <v>61.3</v>
      </c>
      <c r="Z4" s="48">
        <v>41.5</v>
      </c>
      <c r="AA4" s="48">
        <v>72.5</v>
      </c>
      <c r="AB4" s="48">
        <v>62.6</v>
      </c>
      <c r="AC4" s="70">
        <v>59.5</v>
      </c>
      <c r="AD4" s="70"/>
      <c r="AE4" s="49">
        <v>2</v>
      </c>
      <c r="AF4" s="70">
        <v>67.6392857142857</v>
      </c>
      <c r="AG4" s="46" t="s">
        <v>702</v>
      </c>
      <c r="AI4" s="72" t="s">
        <v>322</v>
      </c>
      <c r="AN4" s="40" t="s">
        <v>296</v>
      </c>
      <c r="AO4" s="83" t="s">
        <v>297</v>
      </c>
      <c r="AP4" s="43">
        <v>61.3333333333333</v>
      </c>
      <c r="AQ4" s="30">
        <v>41.5</v>
      </c>
      <c r="AR4" s="43">
        <v>72.4761904761905</v>
      </c>
      <c r="AS4" s="77">
        <v>64</v>
      </c>
      <c r="AT4" s="78">
        <v>59.8273809523809</v>
      </c>
      <c r="AV4" s="78">
        <v>67.6392857142857</v>
      </c>
      <c r="AW4" s="84" t="s">
        <v>322</v>
      </c>
    </row>
    <row r="5" spans="1:49">
      <c r="A5" s="24" t="s">
        <v>302</v>
      </c>
      <c r="B5" s="26">
        <v>54.3333333333333</v>
      </c>
      <c r="C5" s="25">
        <v>57.5</v>
      </c>
      <c r="D5" s="25">
        <v>60.5</v>
      </c>
      <c r="E5" s="26">
        <v>84.1428571428571</v>
      </c>
      <c r="F5" s="26">
        <v>43.1428571428571</v>
      </c>
      <c r="G5" s="27">
        <f t="shared" si="0"/>
        <v>59.7797619047619</v>
      </c>
      <c r="H5" s="27">
        <f t="shared" si="1"/>
        <v>60.5297619047619</v>
      </c>
      <c r="K5" s="28" t="s">
        <v>302</v>
      </c>
      <c r="L5" s="32">
        <v>49</v>
      </c>
      <c r="M5" s="30">
        <v>59</v>
      </c>
      <c r="N5" s="31">
        <v>91.8571428571429</v>
      </c>
      <c r="O5" s="32">
        <v>42.4</v>
      </c>
      <c r="P5" s="33">
        <f t="shared" si="2"/>
        <v>60.5642857142857</v>
      </c>
      <c r="W5" s="46" t="s">
        <v>703</v>
      </c>
      <c r="X5" s="81" t="s">
        <v>303</v>
      </c>
      <c r="Y5" s="48">
        <v>48.7</v>
      </c>
      <c r="Z5" s="48">
        <v>62.5</v>
      </c>
      <c r="AA5" s="48">
        <v>91</v>
      </c>
      <c r="AB5" s="48">
        <v>42.6</v>
      </c>
      <c r="AC5" s="70">
        <v>61.2</v>
      </c>
      <c r="AD5" s="70"/>
      <c r="AE5" s="49">
        <v>3</v>
      </c>
      <c r="AF5" s="70">
        <v>66.9345238095238</v>
      </c>
      <c r="AG5" s="46" t="s">
        <v>704</v>
      </c>
      <c r="AI5" s="72" t="s">
        <v>314</v>
      </c>
      <c r="AJ5" s="72" t="s">
        <v>705</v>
      </c>
      <c r="AN5" s="40" t="s">
        <v>302</v>
      </c>
      <c r="AO5" s="83" t="s">
        <v>303</v>
      </c>
      <c r="AP5" s="43">
        <v>48.6666666666667</v>
      </c>
      <c r="AQ5" s="30">
        <v>62.5</v>
      </c>
      <c r="AR5" s="43">
        <v>91</v>
      </c>
      <c r="AS5" s="77">
        <v>41.2</v>
      </c>
      <c r="AT5" s="78">
        <v>60.8416666666667</v>
      </c>
      <c r="AV5" s="78">
        <v>67.0761904761905</v>
      </c>
      <c r="AW5" s="40" t="s">
        <v>306</v>
      </c>
    </row>
    <row r="6" spans="1:49">
      <c r="A6" s="24" t="s">
        <v>306</v>
      </c>
      <c r="B6" s="26">
        <v>50.6666666666667</v>
      </c>
      <c r="C6" s="25">
        <v>49</v>
      </c>
      <c r="D6" s="25">
        <v>73</v>
      </c>
      <c r="E6" s="26">
        <v>87</v>
      </c>
      <c r="F6" s="26">
        <v>59.1428571428571</v>
      </c>
      <c r="G6" s="27">
        <f t="shared" si="0"/>
        <v>61.452380952381</v>
      </c>
      <c r="H6" s="27">
        <f t="shared" si="1"/>
        <v>67.452380952381</v>
      </c>
      <c r="K6" s="28" t="s">
        <v>306</v>
      </c>
      <c r="L6" s="32">
        <v>54.6666666666667</v>
      </c>
      <c r="M6" s="30">
        <v>70.5</v>
      </c>
      <c r="N6" s="31">
        <v>84.2857142857143</v>
      </c>
      <c r="O6" s="32">
        <v>57</v>
      </c>
      <c r="P6" s="33">
        <f t="shared" si="2"/>
        <v>66.6130952380952</v>
      </c>
      <c r="W6" s="46" t="s">
        <v>706</v>
      </c>
      <c r="X6" s="81" t="s">
        <v>307</v>
      </c>
      <c r="Y6" s="48">
        <v>53.3</v>
      </c>
      <c r="Z6" s="48">
        <v>72</v>
      </c>
      <c r="AA6" s="48">
        <v>83.6</v>
      </c>
      <c r="AB6" s="48">
        <v>57.4</v>
      </c>
      <c r="AC6" s="70">
        <v>66.6</v>
      </c>
      <c r="AD6" s="70"/>
      <c r="AE6" s="49">
        <v>4</v>
      </c>
      <c r="AF6" s="70">
        <v>66.5761904761905</v>
      </c>
      <c r="AG6" s="46" t="s">
        <v>706</v>
      </c>
      <c r="AI6" s="72" t="s">
        <v>385</v>
      </c>
      <c r="AN6" s="40" t="s">
        <v>306</v>
      </c>
      <c r="AO6" s="83" t="s">
        <v>307</v>
      </c>
      <c r="AP6" s="43">
        <v>53.3333333333333</v>
      </c>
      <c r="AQ6" s="30">
        <v>72</v>
      </c>
      <c r="AR6" s="43">
        <v>83.5714285714286</v>
      </c>
      <c r="AS6" s="77">
        <v>59.4</v>
      </c>
      <c r="AT6" s="78">
        <v>67.0761904761905</v>
      </c>
      <c r="AV6" s="78">
        <v>66.4845238095238</v>
      </c>
      <c r="AW6" s="40" t="s">
        <v>362</v>
      </c>
    </row>
    <row r="7" spans="1:49">
      <c r="A7" s="24" t="s">
        <v>310</v>
      </c>
      <c r="B7" s="26">
        <v>43</v>
      </c>
      <c r="C7" s="25">
        <v>46</v>
      </c>
      <c r="D7" s="25">
        <v>75</v>
      </c>
      <c r="E7" s="26">
        <v>85.1428571428571</v>
      </c>
      <c r="F7" s="26">
        <v>47</v>
      </c>
      <c r="G7" s="27">
        <f t="shared" si="0"/>
        <v>55.2857142857143</v>
      </c>
      <c r="H7" s="27">
        <f t="shared" si="1"/>
        <v>62.5357142857143</v>
      </c>
      <c r="K7" s="28" t="s">
        <v>310</v>
      </c>
      <c r="L7" s="32">
        <v>43</v>
      </c>
      <c r="M7" s="30">
        <v>68.5</v>
      </c>
      <c r="N7" s="31">
        <v>67.7142857142857</v>
      </c>
      <c r="O7" s="32">
        <v>48.2</v>
      </c>
      <c r="P7" s="33">
        <f t="shared" si="2"/>
        <v>56.8535714285714</v>
      </c>
      <c r="W7" s="46" t="s">
        <v>707</v>
      </c>
      <c r="X7" s="81" t="s">
        <v>311</v>
      </c>
      <c r="Y7" s="48">
        <v>42.7</v>
      </c>
      <c r="Z7" s="48">
        <v>67.5</v>
      </c>
      <c r="AA7" s="48">
        <v>61.7</v>
      </c>
      <c r="AB7" s="48">
        <v>48.4</v>
      </c>
      <c r="AC7" s="70">
        <v>55.1</v>
      </c>
      <c r="AD7" s="70"/>
      <c r="AE7" s="49">
        <v>5</v>
      </c>
      <c r="AF7" s="70">
        <v>63.5785714285714</v>
      </c>
      <c r="AG7" s="46" t="s">
        <v>708</v>
      </c>
      <c r="AI7" s="72" t="s">
        <v>306</v>
      </c>
      <c r="AN7" s="40" t="s">
        <v>310</v>
      </c>
      <c r="AO7" s="83" t="s">
        <v>311</v>
      </c>
      <c r="AP7" s="43">
        <v>42.6666666666667</v>
      </c>
      <c r="AQ7" s="30">
        <v>67.5</v>
      </c>
      <c r="AR7" s="43">
        <v>61.6666666666667</v>
      </c>
      <c r="AS7" s="77">
        <v>50</v>
      </c>
      <c r="AT7" s="78">
        <v>55.4583333333333</v>
      </c>
      <c r="AV7" s="78">
        <v>63.4785714285714</v>
      </c>
      <c r="AW7" s="40" t="s">
        <v>385</v>
      </c>
    </row>
    <row r="8" spans="1:49">
      <c r="A8" s="24" t="s">
        <v>314</v>
      </c>
      <c r="B8" s="26">
        <v>51.6666666666667</v>
      </c>
      <c r="C8" s="25">
        <v>52</v>
      </c>
      <c r="D8" s="25">
        <v>52</v>
      </c>
      <c r="E8" s="26">
        <v>85.7142857142857</v>
      </c>
      <c r="F8" s="26">
        <v>58.1428571428571</v>
      </c>
      <c r="G8" s="27">
        <f t="shared" si="0"/>
        <v>61.8809523809524</v>
      </c>
      <c r="H8" s="27">
        <f t="shared" si="1"/>
        <v>61.8809523809524</v>
      </c>
      <c r="K8" s="28" t="s">
        <v>314</v>
      </c>
      <c r="L8" s="32">
        <v>52.3333333333333</v>
      </c>
      <c r="M8" s="30">
        <v>44</v>
      </c>
      <c r="N8" s="31">
        <v>88.7142857142857</v>
      </c>
      <c r="O8" s="32">
        <v>56</v>
      </c>
      <c r="P8" s="33">
        <f t="shared" si="2"/>
        <v>60.2619047619048</v>
      </c>
      <c r="W8" s="46" t="s">
        <v>709</v>
      </c>
      <c r="X8" s="81" t="s">
        <v>315</v>
      </c>
      <c r="Y8" s="48">
        <v>51</v>
      </c>
      <c r="Z8" s="48">
        <v>42</v>
      </c>
      <c r="AA8" s="48">
        <v>75.4</v>
      </c>
      <c r="AB8" s="48">
        <v>56.8</v>
      </c>
      <c r="AC8" s="70">
        <v>56.3</v>
      </c>
      <c r="AD8" s="70"/>
      <c r="AE8" s="49">
        <v>6</v>
      </c>
      <c r="AF8" s="70">
        <v>61.1916666666667</v>
      </c>
      <c r="AG8" s="46" t="s">
        <v>703</v>
      </c>
      <c r="AI8" s="72" t="s">
        <v>296</v>
      </c>
      <c r="AN8" s="40" t="s">
        <v>314</v>
      </c>
      <c r="AO8" s="83" t="s">
        <v>315</v>
      </c>
      <c r="AP8" s="43">
        <v>51</v>
      </c>
      <c r="AQ8" s="30">
        <v>42</v>
      </c>
      <c r="AR8" s="43">
        <v>75.4285714285714</v>
      </c>
      <c r="AS8" s="77">
        <v>55.2</v>
      </c>
      <c r="AT8" s="78">
        <v>55.9071428571429</v>
      </c>
      <c r="AV8" s="78">
        <v>60.8416666666667</v>
      </c>
      <c r="AW8" s="40" t="s">
        <v>302</v>
      </c>
    </row>
    <row r="9" spans="1:49">
      <c r="A9" s="24" t="s">
        <v>318</v>
      </c>
      <c r="B9" s="26">
        <v>57.3333333333333</v>
      </c>
      <c r="C9" s="25">
        <v>30</v>
      </c>
      <c r="D9" s="25">
        <v>47</v>
      </c>
      <c r="E9" s="26">
        <v>38</v>
      </c>
      <c r="F9" s="26">
        <v>59</v>
      </c>
      <c r="G9" s="27">
        <f t="shared" si="0"/>
        <v>46.0833333333333</v>
      </c>
      <c r="H9" s="27">
        <f t="shared" si="1"/>
        <v>50.3333333333333</v>
      </c>
      <c r="K9" s="28" t="s">
        <v>318</v>
      </c>
      <c r="L9" s="32">
        <v>61.6666666666667</v>
      </c>
      <c r="M9" s="30">
        <v>55.5</v>
      </c>
      <c r="N9" s="31">
        <v>40.2857142857143</v>
      </c>
      <c r="O9" s="32">
        <v>54.4</v>
      </c>
      <c r="P9" s="33">
        <f t="shared" si="2"/>
        <v>52.9630952380952</v>
      </c>
      <c r="W9" s="46" t="s">
        <v>710</v>
      </c>
      <c r="X9" s="81" t="s">
        <v>319</v>
      </c>
      <c r="Y9" s="48">
        <v>61</v>
      </c>
      <c r="Z9" s="48">
        <v>54</v>
      </c>
      <c r="AA9" s="48">
        <v>48.6</v>
      </c>
      <c r="AB9" s="48">
        <v>54.8</v>
      </c>
      <c r="AC9" s="70">
        <v>54.6</v>
      </c>
      <c r="AD9" s="70"/>
      <c r="AE9" s="49">
        <v>7</v>
      </c>
      <c r="AF9" s="70">
        <v>60.3154761904762</v>
      </c>
      <c r="AG9" s="46" t="s">
        <v>711</v>
      </c>
      <c r="AI9" s="72" t="s">
        <v>362</v>
      </c>
      <c r="AJ9" s="72" t="s">
        <v>712</v>
      </c>
      <c r="AN9" s="40" t="s">
        <v>318</v>
      </c>
      <c r="AO9" s="83" t="s">
        <v>319</v>
      </c>
      <c r="AP9" s="43">
        <v>61</v>
      </c>
      <c r="AQ9" s="30">
        <v>54</v>
      </c>
      <c r="AR9" s="43">
        <v>48.5714285714286</v>
      </c>
      <c r="AS9" s="77">
        <v>55.2</v>
      </c>
      <c r="AT9" s="78">
        <v>54.6928571428572</v>
      </c>
      <c r="AV9" s="78">
        <v>60.8154761904762</v>
      </c>
      <c r="AW9" s="40" t="s">
        <v>397</v>
      </c>
    </row>
    <row r="10" spans="1:49">
      <c r="A10" s="85" t="s">
        <v>322</v>
      </c>
      <c r="B10" s="26">
        <v>73.6666666666667</v>
      </c>
      <c r="C10" s="25">
        <v>65.5</v>
      </c>
      <c r="D10" s="25">
        <v>25.5</v>
      </c>
      <c r="E10" s="26">
        <v>86</v>
      </c>
      <c r="F10" s="26">
        <v>89.2857142857143</v>
      </c>
      <c r="G10" s="86">
        <f t="shared" si="0"/>
        <v>78.6130952380952</v>
      </c>
      <c r="H10" s="27">
        <f t="shared" si="1"/>
        <v>68.6130952380952</v>
      </c>
      <c r="K10" s="28" t="s">
        <v>322</v>
      </c>
      <c r="L10" s="32">
        <v>66</v>
      </c>
      <c r="M10" s="30">
        <v>29</v>
      </c>
      <c r="N10" s="31">
        <v>83.7142857142857</v>
      </c>
      <c r="O10" s="32">
        <v>93</v>
      </c>
      <c r="P10" s="33">
        <f t="shared" si="2"/>
        <v>67.9285714285714</v>
      </c>
      <c r="W10" s="46" t="s">
        <v>702</v>
      </c>
      <c r="X10" s="81" t="s">
        <v>323</v>
      </c>
      <c r="Y10" s="48">
        <v>65.7</v>
      </c>
      <c r="Z10" s="48">
        <v>27.5</v>
      </c>
      <c r="AA10" s="48">
        <v>84.2</v>
      </c>
      <c r="AB10" s="48">
        <v>93.2</v>
      </c>
      <c r="AC10" s="70">
        <v>67.6</v>
      </c>
      <c r="AD10" s="70"/>
      <c r="AE10" s="49">
        <v>8</v>
      </c>
      <c r="AF10" s="70">
        <v>59.477380952381</v>
      </c>
      <c r="AG10" s="46" t="s">
        <v>701</v>
      </c>
      <c r="AI10" s="72" t="s">
        <v>358</v>
      </c>
      <c r="AN10" s="84" t="s">
        <v>322</v>
      </c>
      <c r="AO10" s="83" t="s">
        <v>323</v>
      </c>
      <c r="AP10" s="43">
        <v>65.6666666666667</v>
      </c>
      <c r="AQ10" s="30">
        <v>27.5</v>
      </c>
      <c r="AR10" s="43">
        <v>84.1904761904762</v>
      </c>
      <c r="AS10" s="77">
        <v>93.2</v>
      </c>
      <c r="AT10" s="78">
        <v>67.6392857142857</v>
      </c>
      <c r="AV10" s="78">
        <v>59.8273809523809</v>
      </c>
      <c r="AW10" s="40" t="s">
        <v>296</v>
      </c>
    </row>
    <row r="11" spans="1:49">
      <c r="A11" s="24" t="s">
        <v>328</v>
      </c>
      <c r="B11" s="26">
        <v>28.3333333333333</v>
      </c>
      <c r="C11" s="25">
        <v>52</v>
      </c>
      <c r="D11" s="25">
        <v>33</v>
      </c>
      <c r="E11" s="26">
        <v>57</v>
      </c>
      <c r="F11" s="26">
        <v>30.2857142857143</v>
      </c>
      <c r="G11" s="27">
        <f t="shared" si="0"/>
        <v>41.9047619047619</v>
      </c>
      <c r="H11" s="27">
        <f t="shared" si="1"/>
        <v>37.1547619047619</v>
      </c>
      <c r="K11" s="28" t="s">
        <v>328</v>
      </c>
      <c r="L11" s="32">
        <v>31.6666666666667</v>
      </c>
      <c r="M11" s="30">
        <v>19.5</v>
      </c>
      <c r="N11" s="31">
        <v>59.1428571428571</v>
      </c>
      <c r="O11" s="32">
        <v>33.2</v>
      </c>
      <c r="P11" s="33">
        <f t="shared" si="2"/>
        <v>35.877380952381</v>
      </c>
      <c r="W11" s="46" t="s">
        <v>713</v>
      </c>
      <c r="X11" s="81" t="s">
        <v>329</v>
      </c>
      <c r="Y11" s="48">
        <v>30.7</v>
      </c>
      <c r="Z11" s="48">
        <v>20</v>
      </c>
      <c r="AA11" s="48">
        <v>71.4</v>
      </c>
      <c r="AB11" s="48">
        <v>33.4</v>
      </c>
      <c r="AC11" s="70">
        <v>38.9</v>
      </c>
      <c r="AD11" s="70"/>
      <c r="AE11" s="49">
        <v>9</v>
      </c>
      <c r="AF11" s="70">
        <v>56.3071428571428</v>
      </c>
      <c r="AG11" s="46" t="s">
        <v>709</v>
      </c>
      <c r="AI11" s="72" t="s">
        <v>302</v>
      </c>
      <c r="AN11" s="40" t="s">
        <v>328</v>
      </c>
      <c r="AO11" s="83" t="s">
        <v>329</v>
      </c>
      <c r="AP11" s="43">
        <v>30.6666666666667</v>
      </c>
      <c r="AQ11" s="30">
        <v>20</v>
      </c>
      <c r="AR11" s="43">
        <v>71.3809523809524</v>
      </c>
      <c r="AS11" s="77">
        <v>34.6</v>
      </c>
      <c r="AT11" s="78">
        <v>39.1619047619048</v>
      </c>
      <c r="AV11" s="78">
        <v>55.9071428571429</v>
      </c>
      <c r="AW11" s="40" t="s">
        <v>314</v>
      </c>
    </row>
    <row r="12" spans="1:49">
      <c r="A12" s="24" t="s">
        <v>334</v>
      </c>
      <c r="B12" s="26">
        <v>24.3333333333333</v>
      </c>
      <c r="C12" s="25">
        <v>36.5</v>
      </c>
      <c r="D12" s="25">
        <v>24.5</v>
      </c>
      <c r="E12" s="26">
        <v>62.7142857142857</v>
      </c>
      <c r="F12" s="26">
        <v>67.7142857142857</v>
      </c>
      <c r="G12" s="27">
        <f t="shared" si="0"/>
        <v>47.8154761904762</v>
      </c>
      <c r="H12" s="27">
        <f t="shared" si="1"/>
        <v>44.8154761904762</v>
      </c>
      <c r="K12" s="28" t="s">
        <v>334</v>
      </c>
      <c r="L12" s="32">
        <v>16.3333333333333</v>
      </c>
      <c r="M12" s="30">
        <v>8.5</v>
      </c>
      <c r="N12" s="31">
        <v>60.1428571428571</v>
      </c>
      <c r="O12" s="32">
        <v>68.8</v>
      </c>
      <c r="P12" s="33">
        <f t="shared" si="2"/>
        <v>38.4440476190476</v>
      </c>
      <c r="W12" s="46" t="s">
        <v>714</v>
      </c>
      <c r="X12" s="81" t="s">
        <v>335</v>
      </c>
      <c r="Y12" s="48">
        <v>26</v>
      </c>
      <c r="Z12" s="48">
        <v>7</v>
      </c>
      <c r="AA12" s="48">
        <v>27.5</v>
      </c>
      <c r="AB12" s="48">
        <v>69</v>
      </c>
      <c r="AC12" s="70">
        <v>32.4</v>
      </c>
      <c r="AD12" s="70"/>
      <c r="AE12" s="49">
        <v>10</v>
      </c>
      <c r="AF12" s="70">
        <v>55.5738095238095</v>
      </c>
      <c r="AG12" s="46" t="s">
        <v>715</v>
      </c>
      <c r="AI12" s="72" t="s">
        <v>310</v>
      </c>
      <c r="AN12" s="40" t="s">
        <v>334</v>
      </c>
      <c r="AO12" s="83" t="s">
        <v>335</v>
      </c>
      <c r="AP12" s="43">
        <v>26</v>
      </c>
      <c r="AQ12" s="30">
        <v>7</v>
      </c>
      <c r="AR12" s="43">
        <v>27.4761904761905</v>
      </c>
      <c r="AS12" s="77">
        <v>69.2</v>
      </c>
      <c r="AT12" s="78">
        <v>32.4190476190476</v>
      </c>
      <c r="AV12" s="78">
        <v>55.7297619047619</v>
      </c>
      <c r="AW12" s="40" t="s">
        <v>443</v>
      </c>
    </row>
    <row r="13" spans="1:49">
      <c r="A13" s="24" t="s">
        <v>340</v>
      </c>
      <c r="B13" s="26">
        <v>35.6666666666667</v>
      </c>
      <c r="C13" s="25">
        <v>49.5</v>
      </c>
      <c r="D13" s="25">
        <v>64.5</v>
      </c>
      <c r="E13" s="26">
        <v>69.8571428571429</v>
      </c>
      <c r="F13" s="26">
        <v>45.7142857142857</v>
      </c>
      <c r="G13" s="27">
        <f t="shared" si="0"/>
        <v>50.1845238095238</v>
      </c>
      <c r="H13" s="27">
        <f t="shared" si="1"/>
        <v>53.9345238095238</v>
      </c>
      <c r="K13" s="28" t="s">
        <v>340</v>
      </c>
      <c r="L13" s="32">
        <v>30.6666666666667</v>
      </c>
      <c r="M13" s="30">
        <v>55</v>
      </c>
      <c r="N13" s="31">
        <v>74</v>
      </c>
      <c r="O13" s="32">
        <v>42.8</v>
      </c>
      <c r="P13" s="33">
        <f t="shared" si="2"/>
        <v>50.6166666666667</v>
      </c>
      <c r="W13" s="46" t="s">
        <v>716</v>
      </c>
      <c r="X13" s="81" t="s">
        <v>341</v>
      </c>
      <c r="Y13" s="48">
        <v>30</v>
      </c>
      <c r="Z13" s="48">
        <v>58.5</v>
      </c>
      <c r="AA13" s="48">
        <v>30.4</v>
      </c>
      <c r="AB13" s="48">
        <v>43.6</v>
      </c>
      <c r="AC13" s="70">
        <v>40.6</v>
      </c>
      <c r="AD13" s="70"/>
      <c r="AE13" s="49">
        <v>11</v>
      </c>
      <c r="AF13" s="70">
        <v>55.2297619047619</v>
      </c>
      <c r="AG13" s="46" t="s">
        <v>717</v>
      </c>
      <c r="AI13" s="72" t="s">
        <v>718</v>
      </c>
      <c r="AN13" s="40" t="s">
        <v>340</v>
      </c>
      <c r="AO13" s="83" t="s">
        <v>341</v>
      </c>
      <c r="AP13" s="43">
        <v>30</v>
      </c>
      <c r="AQ13" s="30">
        <v>58.5</v>
      </c>
      <c r="AR13" s="43">
        <v>30.4285714285714</v>
      </c>
      <c r="AS13" s="77">
        <v>44</v>
      </c>
      <c r="AT13" s="78">
        <v>40.7321428571428</v>
      </c>
      <c r="AV13" s="78">
        <v>55.4583333333333</v>
      </c>
      <c r="AW13" s="40" t="s">
        <v>310</v>
      </c>
    </row>
    <row r="14" spans="1:49">
      <c r="A14" s="24" t="s">
        <v>344</v>
      </c>
      <c r="B14" s="26">
        <v>36.3333333333333</v>
      </c>
      <c r="C14" s="25">
        <v>27.5</v>
      </c>
      <c r="D14" s="25">
        <v>33.5</v>
      </c>
      <c r="E14" s="26">
        <v>21.1428571428571</v>
      </c>
      <c r="F14" s="26">
        <v>57.2857142857143</v>
      </c>
      <c r="G14" s="27">
        <f t="shared" si="0"/>
        <v>35.5654761904762</v>
      </c>
      <c r="H14" s="27">
        <f t="shared" si="1"/>
        <v>37.0654761904762</v>
      </c>
      <c r="K14" s="28" t="s">
        <v>344</v>
      </c>
      <c r="L14" s="32">
        <v>39.6666666666667</v>
      </c>
      <c r="M14" s="30">
        <v>27</v>
      </c>
      <c r="N14" s="31">
        <v>22.4285714285714</v>
      </c>
      <c r="O14" s="32">
        <v>53.6</v>
      </c>
      <c r="P14" s="33">
        <f t="shared" si="2"/>
        <v>35.6738095238095</v>
      </c>
      <c r="W14" s="46" t="s">
        <v>719</v>
      </c>
      <c r="X14" s="81" t="s">
        <v>345</v>
      </c>
      <c r="Y14" s="48">
        <v>39.7</v>
      </c>
      <c r="Z14" s="48">
        <v>22</v>
      </c>
      <c r="AA14" s="48">
        <v>6.1</v>
      </c>
      <c r="AB14" s="48">
        <v>54.6</v>
      </c>
      <c r="AC14" s="70">
        <v>30.6</v>
      </c>
      <c r="AD14" s="70"/>
      <c r="AE14" s="49">
        <v>12</v>
      </c>
      <c r="AF14" s="70">
        <v>55.1369047619048</v>
      </c>
      <c r="AG14" s="46" t="s">
        <v>720</v>
      </c>
      <c r="AI14" s="72" t="s">
        <v>318</v>
      </c>
      <c r="AN14" s="40" t="s">
        <v>344</v>
      </c>
      <c r="AO14" s="83" t="s">
        <v>345</v>
      </c>
      <c r="AP14" s="43">
        <v>39.6666666666667</v>
      </c>
      <c r="AQ14" s="30">
        <v>22</v>
      </c>
      <c r="AR14" s="43">
        <v>6.14285714285714</v>
      </c>
      <c r="AS14" s="77">
        <v>53</v>
      </c>
      <c r="AT14" s="78">
        <v>30.202380952381</v>
      </c>
      <c r="AV14" s="78">
        <v>55.2738095238095</v>
      </c>
      <c r="AW14" s="40" t="s">
        <v>436</v>
      </c>
    </row>
    <row r="15" spans="1:49">
      <c r="A15" s="24" t="s">
        <v>349</v>
      </c>
      <c r="B15" s="26">
        <v>43.3333333333333</v>
      </c>
      <c r="C15" s="25">
        <v>57.5</v>
      </c>
      <c r="D15" s="25">
        <v>80.5</v>
      </c>
      <c r="E15" s="26">
        <v>62.1428571428571</v>
      </c>
      <c r="F15" s="26">
        <v>33.7142857142857</v>
      </c>
      <c r="G15" s="27">
        <f t="shared" si="0"/>
        <v>49.172619047619</v>
      </c>
      <c r="H15" s="27">
        <f t="shared" si="1"/>
        <v>54.922619047619</v>
      </c>
      <c r="K15" s="28" t="s">
        <v>349</v>
      </c>
      <c r="L15" s="32">
        <v>44</v>
      </c>
      <c r="M15" s="30">
        <v>64</v>
      </c>
      <c r="N15" s="31">
        <v>65.2857142857143</v>
      </c>
      <c r="O15" s="32">
        <v>29</v>
      </c>
      <c r="P15" s="33">
        <f t="shared" si="2"/>
        <v>50.5714285714286</v>
      </c>
      <c r="W15" s="46" t="s">
        <v>721</v>
      </c>
      <c r="X15" s="81" t="s">
        <v>350</v>
      </c>
      <c r="Y15" s="48">
        <v>44</v>
      </c>
      <c r="Z15" s="48">
        <v>63.5</v>
      </c>
      <c r="AA15" s="48">
        <v>74.6</v>
      </c>
      <c r="AB15" s="48">
        <v>29.8</v>
      </c>
      <c r="AC15" s="70">
        <v>53</v>
      </c>
      <c r="AD15" s="70"/>
      <c r="AE15" s="49">
        <v>13</v>
      </c>
      <c r="AF15" s="70">
        <v>55.0583333333333</v>
      </c>
      <c r="AG15" s="46" t="s">
        <v>707</v>
      </c>
      <c r="AI15" s="72" t="s">
        <v>380</v>
      </c>
      <c r="AN15" s="40" t="s">
        <v>349</v>
      </c>
      <c r="AO15" s="83" t="s">
        <v>350</v>
      </c>
      <c r="AP15" s="43">
        <v>44</v>
      </c>
      <c r="AQ15" s="30">
        <v>63.5</v>
      </c>
      <c r="AR15" s="43">
        <v>74.6190476190476</v>
      </c>
      <c r="AS15" s="77">
        <v>31</v>
      </c>
      <c r="AT15" s="78">
        <v>53.2797619047619</v>
      </c>
      <c r="AV15" s="78">
        <v>54.6928571428572</v>
      </c>
      <c r="AW15" s="40" t="s">
        <v>318</v>
      </c>
    </row>
    <row r="16" spans="1:49">
      <c r="A16" s="24" t="s">
        <v>354</v>
      </c>
      <c r="B16" s="26">
        <v>28.3333333333333</v>
      </c>
      <c r="C16" s="25">
        <v>22.5</v>
      </c>
      <c r="D16" s="25">
        <v>46.5</v>
      </c>
      <c r="E16" s="26">
        <v>35.2857142857143</v>
      </c>
      <c r="F16" s="26">
        <v>39.5714285714286</v>
      </c>
      <c r="G16" s="27">
        <f t="shared" si="0"/>
        <v>31.422619047619</v>
      </c>
      <c r="H16" s="27">
        <f t="shared" si="1"/>
        <v>37.422619047619</v>
      </c>
      <c r="K16" s="28" t="s">
        <v>354</v>
      </c>
      <c r="L16" s="32">
        <v>30.3333333333333</v>
      </c>
      <c r="M16" s="30">
        <v>38</v>
      </c>
      <c r="N16" s="31">
        <v>37.4285714285714</v>
      </c>
      <c r="O16" s="32">
        <v>38.8</v>
      </c>
      <c r="P16" s="33">
        <f t="shared" si="2"/>
        <v>36.1404761904762</v>
      </c>
      <c r="W16" s="46" t="s">
        <v>722</v>
      </c>
      <c r="X16" s="81" t="s">
        <v>355</v>
      </c>
      <c r="Y16" s="48">
        <v>30</v>
      </c>
      <c r="Z16" s="48">
        <v>43</v>
      </c>
      <c r="AA16" s="48">
        <v>29.3</v>
      </c>
      <c r="AB16" s="48">
        <v>33.8</v>
      </c>
      <c r="AC16" s="70">
        <v>34</v>
      </c>
      <c r="AD16" s="70"/>
      <c r="AE16" s="49">
        <v>14</v>
      </c>
      <c r="AF16" s="70">
        <v>54.5928571428571</v>
      </c>
      <c r="AG16" s="46" t="s">
        <v>710</v>
      </c>
      <c r="AI16" s="72" t="s">
        <v>376</v>
      </c>
      <c r="AN16" s="40" t="s">
        <v>354</v>
      </c>
      <c r="AO16" s="83" t="s">
        <v>355</v>
      </c>
      <c r="AP16" s="43">
        <v>30</v>
      </c>
      <c r="AQ16" s="30">
        <v>43</v>
      </c>
      <c r="AR16" s="43">
        <v>29.2857142857143</v>
      </c>
      <c r="AS16" s="77">
        <v>34.4</v>
      </c>
      <c r="AT16" s="78">
        <v>34.1714285714286</v>
      </c>
      <c r="AV16" s="78">
        <v>54.5369047619048</v>
      </c>
      <c r="AW16" s="40" t="s">
        <v>393</v>
      </c>
    </row>
    <row r="17" spans="1:49">
      <c r="A17" s="24" t="s">
        <v>358</v>
      </c>
      <c r="B17" s="26">
        <v>46</v>
      </c>
      <c r="C17" s="25">
        <v>66</v>
      </c>
      <c r="D17" s="25">
        <v>46</v>
      </c>
      <c r="E17" s="26">
        <v>77.4285714285714</v>
      </c>
      <c r="F17" s="26">
        <v>60.2857142857143</v>
      </c>
      <c r="G17" s="27">
        <f t="shared" si="0"/>
        <v>62.4285714285714</v>
      </c>
      <c r="H17" s="27">
        <f t="shared" si="1"/>
        <v>57.4285714285714</v>
      </c>
      <c r="K17" s="28" t="s">
        <v>358</v>
      </c>
      <c r="L17" s="32">
        <v>52.3333333333333</v>
      </c>
      <c r="M17" s="30">
        <v>46.5</v>
      </c>
      <c r="N17" s="31">
        <v>79.4285714285714</v>
      </c>
      <c r="O17" s="32">
        <v>53.6</v>
      </c>
      <c r="P17" s="33">
        <f t="shared" si="2"/>
        <v>57.9654761904762</v>
      </c>
      <c r="W17" s="46" t="s">
        <v>723</v>
      </c>
      <c r="X17" s="81" t="s">
        <v>359</v>
      </c>
      <c r="Y17" s="48">
        <v>52</v>
      </c>
      <c r="Z17" s="48">
        <v>46.5</v>
      </c>
      <c r="AA17" s="48">
        <v>64</v>
      </c>
      <c r="AB17" s="48">
        <v>54.2</v>
      </c>
      <c r="AC17" s="70">
        <v>54.2</v>
      </c>
      <c r="AD17" s="70"/>
      <c r="AE17" s="49">
        <v>15</v>
      </c>
      <c r="AF17" s="70">
        <v>54.1869047619048</v>
      </c>
      <c r="AG17" s="46" t="s">
        <v>723</v>
      </c>
      <c r="AI17" s="72" t="s">
        <v>334</v>
      </c>
      <c r="AJ17" s="72" t="s">
        <v>705</v>
      </c>
      <c r="AN17" s="40" t="s">
        <v>358</v>
      </c>
      <c r="AO17" s="83" t="s">
        <v>359</v>
      </c>
      <c r="AP17" s="43">
        <v>52</v>
      </c>
      <c r="AQ17" s="30">
        <v>46.5</v>
      </c>
      <c r="AR17" s="43">
        <v>64.0476190476191</v>
      </c>
      <c r="AS17" s="77">
        <v>52.8</v>
      </c>
      <c r="AT17" s="78">
        <v>53.8369047619048</v>
      </c>
      <c r="AV17" s="78">
        <v>53.8369047619048</v>
      </c>
      <c r="AW17" s="40" t="s">
        <v>358</v>
      </c>
    </row>
    <row r="18" spans="1:49">
      <c r="A18" s="24" t="s">
        <v>362</v>
      </c>
      <c r="B18" s="26">
        <v>56.6666666666667</v>
      </c>
      <c r="C18" s="25">
        <v>74.5</v>
      </c>
      <c r="D18" s="25">
        <v>75.5</v>
      </c>
      <c r="E18" s="26">
        <v>74.2857142857143</v>
      </c>
      <c r="F18" s="26">
        <v>63.1428571428571</v>
      </c>
      <c r="G18" s="27">
        <f t="shared" si="0"/>
        <v>67.1488095238095</v>
      </c>
      <c r="H18" s="87">
        <f t="shared" si="1"/>
        <v>67.3988095238095</v>
      </c>
      <c r="K18" s="28" t="s">
        <v>362</v>
      </c>
      <c r="L18" s="32">
        <v>51.3333333333333</v>
      </c>
      <c r="M18" s="30">
        <v>62</v>
      </c>
      <c r="N18" s="31">
        <v>84.2857142857143</v>
      </c>
      <c r="O18" s="32">
        <v>66</v>
      </c>
      <c r="P18" s="33">
        <f t="shared" si="2"/>
        <v>65.9047619047619</v>
      </c>
      <c r="W18" s="46" t="s">
        <v>704</v>
      </c>
      <c r="X18" s="81" t="s">
        <v>363</v>
      </c>
      <c r="Y18" s="48">
        <v>50.7</v>
      </c>
      <c r="Z18" s="48">
        <v>67.5</v>
      </c>
      <c r="AA18" s="48">
        <v>83.6</v>
      </c>
      <c r="AB18" s="48">
        <v>66</v>
      </c>
      <c r="AC18" s="70">
        <v>66.9</v>
      </c>
      <c r="AD18" s="70"/>
      <c r="AE18" s="49">
        <v>16</v>
      </c>
      <c r="AF18" s="70">
        <v>53.2333333333333</v>
      </c>
      <c r="AG18" s="46" t="s">
        <v>724</v>
      </c>
      <c r="AI18" s="72" t="s">
        <v>328</v>
      </c>
      <c r="AN18" s="40" t="s">
        <v>362</v>
      </c>
      <c r="AO18" s="83" t="s">
        <v>363</v>
      </c>
      <c r="AP18" s="43">
        <v>50.6666666666667</v>
      </c>
      <c r="AQ18" s="30">
        <v>67.5</v>
      </c>
      <c r="AR18" s="43">
        <v>83.5714285714286</v>
      </c>
      <c r="AS18" s="77">
        <v>64.2</v>
      </c>
      <c r="AT18" s="78">
        <v>66.4845238095238</v>
      </c>
      <c r="AV18" s="78">
        <v>53.4333333333334</v>
      </c>
      <c r="AW18" s="40" t="s">
        <v>425</v>
      </c>
    </row>
    <row r="19" spans="1:49">
      <c r="A19" s="24" t="s">
        <v>368</v>
      </c>
      <c r="B19" s="26">
        <v>28</v>
      </c>
      <c r="C19" s="25">
        <v>33.5</v>
      </c>
      <c r="D19" s="25">
        <v>37.5</v>
      </c>
      <c r="E19" s="26">
        <v>25.8571428571429</v>
      </c>
      <c r="F19" s="26">
        <v>42.2857142857143</v>
      </c>
      <c r="G19" s="27">
        <f t="shared" si="0"/>
        <v>32.4107142857143</v>
      </c>
      <c r="H19" s="27">
        <f t="shared" si="1"/>
        <v>33.4107142857143</v>
      </c>
      <c r="K19" s="28" t="s">
        <v>368</v>
      </c>
      <c r="L19" s="32">
        <v>29.6666666666667</v>
      </c>
      <c r="M19" s="30">
        <v>46</v>
      </c>
      <c r="N19" s="31">
        <v>30.8571428571429</v>
      </c>
      <c r="O19" s="32">
        <v>49</v>
      </c>
      <c r="P19" s="33">
        <f t="shared" si="2"/>
        <v>38.8809523809524</v>
      </c>
      <c r="W19" s="46" t="s">
        <v>725</v>
      </c>
      <c r="X19" s="81" t="s">
        <v>369</v>
      </c>
      <c r="Y19" s="48">
        <v>29</v>
      </c>
      <c r="Z19" s="48">
        <v>45.5</v>
      </c>
      <c r="AA19" s="48">
        <v>38.8</v>
      </c>
      <c r="AB19" s="48">
        <v>49.4</v>
      </c>
      <c r="AC19" s="70">
        <v>40.7</v>
      </c>
      <c r="AD19" s="70"/>
      <c r="AE19" s="49">
        <v>17</v>
      </c>
      <c r="AF19" s="70">
        <v>52.9797619047619</v>
      </c>
      <c r="AG19" s="46" t="s">
        <v>721</v>
      </c>
      <c r="AI19" s="72" t="s">
        <v>372</v>
      </c>
      <c r="AN19" s="40" t="s">
        <v>368</v>
      </c>
      <c r="AO19" s="83" t="s">
        <v>369</v>
      </c>
      <c r="AP19" s="43">
        <v>29</v>
      </c>
      <c r="AQ19" s="30">
        <v>45.5</v>
      </c>
      <c r="AR19" s="43">
        <v>38.8095238095238</v>
      </c>
      <c r="AS19" s="77">
        <v>52.2</v>
      </c>
      <c r="AT19" s="78">
        <v>41.377380952381</v>
      </c>
      <c r="AV19" s="78">
        <v>53.2797619047619</v>
      </c>
      <c r="AW19" s="40" t="s">
        <v>349</v>
      </c>
    </row>
    <row r="20" spans="1:49">
      <c r="A20" s="24" t="s">
        <v>372</v>
      </c>
      <c r="B20" s="26">
        <v>35.6666666666667</v>
      </c>
      <c r="C20" s="25">
        <v>42.5</v>
      </c>
      <c r="D20" s="25">
        <v>64.5</v>
      </c>
      <c r="E20" s="26">
        <v>56</v>
      </c>
      <c r="F20" s="26">
        <v>39.2857142857143</v>
      </c>
      <c r="G20" s="27">
        <f t="shared" si="0"/>
        <v>43.3630952380952</v>
      </c>
      <c r="H20" s="27">
        <f t="shared" si="1"/>
        <v>48.8630952380952</v>
      </c>
      <c r="K20" s="28" t="s">
        <v>372</v>
      </c>
      <c r="L20" s="32">
        <v>38</v>
      </c>
      <c r="M20" s="30">
        <v>57.5</v>
      </c>
      <c r="N20" s="31">
        <v>57</v>
      </c>
      <c r="O20" s="32">
        <v>40.4</v>
      </c>
      <c r="P20" s="33">
        <f t="shared" si="2"/>
        <v>48.225</v>
      </c>
      <c r="W20" s="46" t="s">
        <v>726</v>
      </c>
      <c r="X20" s="81" t="s">
        <v>373</v>
      </c>
      <c r="Y20" s="48">
        <v>37.7</v>
      </c>
      <c r="Z20" s="48">
        <v>59.5</v>
      </c>
      <c r="AA20" s="48">
        <v>51.2</v>
      </c>
      <c r="AB20" s="48">
        <v>40.6</v>
      </c>
      <c r="AC20" s="70">
        <v>47.3</v>
      </c>
      <c r="AD20" s="70"/>
      <c r="AE20" s="49">
        <v>18</v>
      </c>
      <c r="AF20" s="70">
        <v>50.575</v>
      </c>
      <c r="AG20" s="46" t="s">
        <v>727</v>
      </c>
      <c r="AI20" s="72" t="s">
        <v>368</v>
      </c>
      <c r="AN20" s="40" t="s">
        <v>372</v>
      </c>
      <c r="AO20" s="83" t="s">
        <v>373</v>
      </c>
      <c r="AP20" s="43">
        <v>37.6666666666667</v>
      </c>
      <c r="AQ20" s="30">
        <v>59.5</v>
      </c>
      <c r="AR20" s="43">
        <v>51.2380952380952</v>
      </c>
      <c r="AS20" s="77">
        <v>38.6</v>
      </c>
      <c r="AT20" s="78">
        <v>46.7511904761905</v>
      </c>
      <c r="AV20" s="78">
        <v>50.1416666666667</v>
      </c>
      <c r="AW20" s="40" t="s">
        <v>401</v>
      </c>
    </row>
    <row r="21" spans="1:49">
      <c r="A21" s="24" t="s">
        <v>376</v>
      </c>
      <c r="B21" s="26">
        <v>38.3333333333333</v>
      </c>
      <c r="C21" s="25">
        <v>30.5</v>
      </c>
      <c r="D21" s="25">
        <v>52.5</v>
      </c>
      <c r="E21" s="26">
        <v>18.1428571428571</v>
      </c>
      <c r="F21" s="26">
        <v>67.2857142857143</v>
      </c>
      <c r="G21" s="27">
        <f t="shared" si="0"/>
        <v>38.5654761904762</v>
      </c>
      <c r="H21" s="27">
        <f t="shared" si="1"/>
        <v>44.0654761904762</v>
      </c>
      <c r="K21" s="28" t="s">
        <v>376</v>
      </c>
      <c r="L21" s="32">
        <v>42.3333333333333</v>
      </c>
      <c r="M21" s="30">
        <v>51</v>
      </c>
      <c r="N21" s="31">
        <v>21.1428571428571</v>
      </c>
      <c r="O21" s="32">
        <v>64</v>
      </c>
      <c r="P21" s="33">
        <f t="shared" si="2"/>
        <v>44.6190476190476</v>
      </c>
      <c r="W21" s="46" t="s">
        <v>728</v>
      </c>
      <c r="X21" s="81" t="s">
        <v>377</v>
      </c>
      <c r="Y21" s="48">
        <v>43</v>
      </c>
      <c r="Z21" s="48">
        <v>47</v>
      </c>
      <c r="AA21" s="48">
        <v>45.1</v>
      </c>
      <c r="AB21" s="48">
        <v>59</v>
      </c>
      <c r="AC21" s="70">
        <v>48.5</v>
      </c>
      <c r="AD21" s="70"/>
      <c r="AE21" s="49">
        <v>19</v>
      </c>
      <c r="AF21" s="70">
        <v>49.5416666666667</v>
      </c>
      <c r="AG21" s="46" t="s">
        <v>729</v>
      </c>
      <c r="AI21" s="72" t="s">
        <v>354</v>
      </c>
      <c r="AN21" s="40" t="s">
        <v>376</v>
      </c>
      <c r="AO21" s="83" t="s">
        <v>377</v>
      </c>
      <c r="AP21" s="43">
        <v>43</v>
      </c>
      <c r="AQ21" s="30">
        <v>47</v>
      </c>
      <c r="AR21" s="43">
        <v>45.1428571428571</v>
      </c>
      <c r="AS21" s="77">
        <v>56</v>
      </c>
      <c r="AT21" s="78">
        <v>47.7857142857143</v>
      </c>
      <c r="AV21" s="78">
        <v>50.075</v>
      </c>
      <c r="AW21" s="40" t="s">
        <v>446</v>
      </c>
    </row>
    <row r="22" spans="1:49">
      <c r="A22" s="24" t="s">
        <v>380</v>
      </c>
      <c r="B22" s="26">
        <v>51.3333333333333</v>
      </c>
      <c r="C22" s="25">
        <v>53</v>
      </c>
      <c r="D22" s="25">
        <v>60</v>
      </c>
      <c r="E22" s="26">
        <v>59.7142857142857</v>
      </c>
      <c r="F22" s="26">
        <v>39.7142857142857</v>
      </c>
      <c r="G22" s="27">
        <f t="shared" si="0"/>
        <v>50.9404761904762</v>
      </c>
      <c r="H22" s="27">
        <f t="shared" si="1"/>
        <v>52.6904761904762</v>
      </c>
      <c r="K22" s="28" t="s">
        <v>380</v>
      </c>
      <c r="L22" s="32">
        <v>46</v>
      </c>
      <c r="M22" s="30">
        <v>62</v>
      </c>
      <c r="N22" s="31">
        <v>59</v>
      </c>
      <c r="O22" s="32">
        <v>38.6</v>
      </c>
      <c r="P22" s="33">
        <f t="shared" si="2"/>
        <v>51.4</v>
      </c>
      <c r="W22" s="46" t="s">
        <v>730</v>
      </c>
      <c r="X22" s="81" t="s">
        <v>381</v>
      </c>
      <c r="Y22" s="48">
        <v>46</v>
      </c>
      <c r="Z22" s="48">
        <v>51.5</v>
      </c>
      <c r="AA22" s="48">
        <v>44.7</v>
      </c>
      <c r="AB22" s="48">
        <v>39</v>
      </c>
      <c r="AC22" s="70">
        <v>45.3</v>
      </c>
      <c r="AD22" s="70"/>
      <c r="AE22" s="49">
        <v>20</v>
      </c>
      <c r="AF22" s="70">
        <v>48.5357142857143</v>
      </c>
      <c r="AG22" s="46" t="s">
        <v>728</v>
      </c>
      <c r="AI22" s="72" t="s">
        <v>340</v>
      </c>
      <c r="AN22" s="40" t="s">
        <v>380</v>
      </c>
      <c r="AO22" s="83" t="s">
        <v>381</v>
      </c>
      <c r="AP22" s="43">
        <v>46</v>
      </c>
      <c r="AQ22" s="30">
        <v>51.5</v>
      </c>
      <c r="AR22" s="43">
        <v>44.7142857142857</v>
      </c>
      <c r="AS22" s="77">
        <v>40</v>
      </c>
      <c r="AT22" s="78">
        <v>45.5535714285714</v>
      </c>
      <c r="AV22" s="78">
        <v>47.7857142857143</v>
      </c>
      <c r="AW22" s="40" t="s">
        <v>376</v>
      </c>
    </row>
    <row r="23" spans="1:49">
      <c r="A23" s="24" t="s">
        <v>385</v>
      </c>
      <c r="B23" s="26">
        <v>75</v>
      </c>
      <c r="C23" s="25">
        <v>73</v>
      </c>
      <c r="D23" s="25">
        <v>57</v>
      </c>
      <c r="E23" s="26">
        <v>84</v>
      </c>
      <c r="F23" s="26">
        <v>66.4285714285714</v>
      </c>
      <c r="G23" s="27">
        <f t="shared" si="0"/>
        <v>74.6071428571429</v>
      </c>
      <c r="H23" s="27">
        <f t="shared" si="1"/>
        <v>70.6071428571429</v>
      </c>
      <c r="K23" s="28" t="s">
        <v>385</v>
      </c>
      <c r="L23" s="32">
        <v>71.6666666666667</v>
      </c>
      <c r="M23" s="30">
        <v>47.5</v>
      </c>
      <c r="N23" s="31">
        <v>57.8571428571429</v>
      </c>
      <c r="O23" s="32">
        <v>74.4</v>
      </c>
      <c r="P23" s="33">
        <f t="shared" si="2"/>
        <v>62.8559523809524</v>
      </c>
      <c r="W23" s="46" t="s">
        <v>708</v>
      </c>
      <c r="X23" s="81" t="s">
        <v>386</v>
      </c>
      <c r="Y23" s="48">
        <v>70.7</v>
      </c>
      <c r="Z23" s="48">
        <v>48</v>
      </c>
      <c r="AA23" s="48">
        <v>61</v>
      </c>
      <c r="AB23" s="48">
        <v>74.6</v>
      </c>
      <c r="AC23" s="70">
        <v>63.6</v>
      </c>
      <c r="AD23" s="70"/>
      <c r="AE23" s="49">
        <v>21</v>
      </c>
      <c r="AF23" s="70">
        <v>47.2511904761905</v>
      </c>
      <c r="AG23" s="46" t="s">
        <v>726</v>
      </c>
      <c r="AI23" s="72" t="s">
        <v>344</v>
      </c>
      <c r="AN23" s="40" t="s">
        <v>385</v>
      </c>
      <c r="AO23" s="83" t="s">
        <v>386</v>
      </c>
      <c r="AP23" s="43">
        <v>70.6666666666667</v>
      </c>
      <c r="AQ23" s="30">
        <v>48</v>
      </c>
      <c r="AR23" s="43">
        <v>61.047619047619</v>
      </c>
      <c r="AS23" s="77">
        <v>74.2</v>
      </c>
      <c r="AT23" s="78">
        <v>63.4785714285714</v>
      </c>
      <c r="AV23" s="78">
        <v>46.7511904761905</v>
      </c>
      <c r="AW23" s="40" t="s">
        <v>372</v>
      </c>
    </row>
    <row r="24" spans="1:49">
      <c r="A24" s="24" t="s">
        <v>389</v>
      </c>
      <c r="B24" s="26">
        <v>59.3333333333333</v>
      </c>
      <c r="C24" s="25">
        <v>71</v>
      </c>
      <c r="D24" s="25">
        <v>48</v>
      </c>
      <c r="E24" s="26">
        <v>30.2857142857143</v>
      </c>
      <c r="F24" s="26">
        <v>34.8571428571429</v>
      </c>
      <c r="G24" s="27">
        <f t="shared" si="0"/>
        <v>48.8690476190476</v>
      </c>
      <c r="H24" s="27">
        <f t="shared" si="1"/>
        <v>43.1190476190476</v>
      </c>
      <c r="K24" s="28" t="s">
        <v>389</v>
      </c>
      <c r="L24" s="32">
        <v>59.6666666666667</v>
      </c>
      <c r="M24" s="30">
        <v>47.5</v>
      </c>
      <c r="N24" s="31">
        <v>32.4285714285714</v>
      </c>
      <c r="O24" s="32">
        <v>37</v>
      </c>
      <c r="P24" s="33">
        <f t="shared" si="2"/>
        <v>44.1488095238095</v>
      </c>
      <c r="W24" s="46" t="s">
        <v>731</v>
      </c>
      <c r="X24" s="81" t="s">
        <v>390</v>
      </c>
      <c r="Y24" s="48">
        <v>59.7</v>
      </c>
      <c r="Z24" s="48">
        <v>49.5</v>
      </c>
      <c r="AA24" s="48">
        <v>32.3</v>
      </c>
      <c r="AB24" s="48">
        <v>37.6</v>
      </c>
      <c r="AC24" s="70">
        <v>44.8</v>
      </c>
      <c r="AD24" s="70"/>
      <c r="AE24" s="49">
        <v>22</v>
      </c>
      <c r="AF24" s="70">
        <v>46.625</v>
      </c>
      <c r="AG24" s="46" t="s">
        <v>732</v>
      </c>
      <c r="AN24" s="40" t="s">
        <v>389</v>
      </c>
      <c r="AO24" s="83" t="s">
        <v>390</v>
      </c>
      <c r="AP24" s="43">
        <v>59.6666666666667</v>
      </c>
      <c r="AQ24" s="30">
        <v>49.5</v>
      </c>
      <c r="AR24" s="43">
        <v>32.2857142857143</v>
      </c>
      <c r="AS24" s="77">
        <v>39.2</v>
      </c>
      <c r="AT24" s="78">
        <v>45.1630952380953</v>
      </c>
      <c r="AV24" s="78">
        <v>46.125</v>
      </c>
      <c r="AW24" s="40" t="s">
        <v>432</v>
      </c>
    </row>
    <row r="25" spans="1:49">
      <c r="A25" s="24" t="s">
        <v>393</v>
      </c>
      <c r="B25" s="26">
        <v>60.3333333333333</v>
      </c>
      <c r="C25" s="25">
        <v>58</v>
      </c>
      <c r="D25" s="25">
        <v>57</v>
      </c>
      <c r="E25" s="26">
        <v>81.2857142857143</v>
      </c>
      <c r="F25" s="26">
        <v>48.8571428571429</v>
      </c>
      <c r="G25" s="27">
        <f t="shared" si="0"/>
        <v>62.1190476190476</v>
      </c>
      <c r="H25" s="27">
        <f t="shared" si="1"/>
        <v>61.8690476190476</v>
      </c>
      <c r="K25" s="28" t="s">
        <v>393</v>
      </c>
      <c r="L25" s="32">
        <v>59</v>
      </c>
      <c r="M25" s="30">
        <v>66.5</v>
      </c>
      <c r="N25" s="31">
        <v>59.1428571428571</v>
      </c>
      <c r="O25" s="32">
        <v>52.8</v>
      </c>
      <c r="P25" s="33">
        <f t="shared" si="2"/>
        <v>59.3607142857143</v>
      </c>
      <c r="W25" s="46" t="s">
        <v>720</v>
      </c>
      <c r="X25" s="81" t="s">
        <v>394</v>
      </c>
      <c r="Y25" s="48">
        <v>58.3</v>
      </c>
      <c r="Z25" s="48">
        <v>63.5</v>
      </c>
      <c r="AA25" s="48">
        <v>44.7</v>
      </c>
      <c r="AB25" s="48">
        <v>54</v>
      </c>
      <c r="AC25" s="70">
        <v>55.1</v>
      </c>
      <c r="AD25" s="70"/>
      <c r="AE25" s="49">
        <v>23</v>
      </c>
      <c r="AF25" s="70">
        <v>45.3035714285714</v>
      </c>
      <c r="AG25" s="46" t="s">
        <v>730</v>
      </c>
      <c r="AN25" s="40" t="s">
        <v>393</v>
      </c>
      <c r="AO25" s="83" t="s">
        <v>394</v>
      </c>
      <c r="AP25" s="43">
        <v>58.3333333333333</v>
      </c>
      <c r="AQ25" s="30">
        <v>63.5</v>
      </c>
      <c r="AR25" s="43">
        <v>44.7142857142857</v>
      </c>
      <c r="AS25" s="77">
        <v>51.6</v>
      </c>
      <c r="AT25" s="78">
        <v>54.5369047619048</v>
      </c>
      <c r="AV25" s="78">
        <v>45.5535714285714</v>
      </c>
      <c r="AW25" s="40" t="s">
        <v>380</v>
      </c>
    </row>
    <row r="26" spans="1:49">
      <c r="A26" s="24" t="s">
        <v>397</v>
      </c>
      <c r="B26" s="26">
        <v>63</v>
      </c>
      <c r="C26" s="25">
        <v>52</v>
      </c>
      <c r="D26" s="25">
        <v>71</v>
      </c>
      <c r="E26" s="26">
        <v>53.7142857142857</v>
      </c>
      <c r="F26" s="26">
        <v>44.1428571428571</v>
      </c>
      <c r="G26" s="27">
        <f t="shared" si="0"/>
        <v>53.2142857142857</v>
      </c>
      <c r="H26" s="27">
        <f t="shared" si="1"/>
        <v>57.9642857142857</v>
      </c>
      <c r="K26" s="28" t="s">
        <v>397</v>
      </c>
      <c r="L26" s="32">
        <v>70.6666666666667</v>
      </c>
      <c r="M26" s="30">
        <v>81</v>
      </c>
      <c r="N26" s="31">
        <v>50.5714285714286</v>
      </c>
      <c r="O26" s="32">
        <v>47.2</v>
      </c>
      <c r="P26" s="33">
        <f t="shared" si="2"/>
        <v>62.3595238095238</v>
      </c>
      <c r="W26" s="46" t="s">
        <v>711</v>
      </c>
      <c r="X26" s="81" t="s">
        <v>398</v>
      </c>
      <c r="Y26" s="48">
        <v>70.7</v>
      </c>
      <c r="Z26" s="48">
        <v>76.5</v>
      </c>
      <c r="AA26" s="48">
        <v>46.1</v>
      </c>
      <c r="AB26" s="48">
        <v>48</v>
      </c>
      <c r="AC26" s="70">
        <v>60.3</v>
      </c>
      <c r="AD26" s="70"/>
      <c r="AE26" s="49">
        <v>24</v>
      </c>
      <c r="AF26" s="70">
        <v>44.7630952380952</v>
      </c>
      <c r="AG26" s="46" t="s">
        <v>731</v>
      </c>
      <c r="AN26" s="40" t="s">
        <v>397</v>
      </c>
      <c r="AO26" s="83" t="s">
        <v>398</v>
      </c>
      <c r="AP26" s="43">
        <v>70.6666666666667</v>
      </c>
      <c r="AQ26" s="30">
        <v>76.5</v>
      </c>
      <c r="AR26" s="43">
        <v>46.0952380952381</v>
      </c>
      <c r="AS26" s="77">
        <v>50</v>
      </c>
      <c r="AT26" s="78">
        <v>60.8154761904762</v>
      </c>
      <c r="AV26" s="78">
        <v>45.1630952380953</v>
      </c>
      <c r="AW26" s="40" t="s">
        <v>389</v>
      </c>
    </row>
    <row r="27" spans="1:49">
      <c r="A27" s="24" t="s">
        <v>401</v>
      </c>
      <c r="B27" s="26">
        <v>40.3333333333333</v>
      </c>
      <c r="C27" s="25">
        <v>50</v>
      </c>
      <c r="D27" s="25">
        <v>64</v>
      </c>
      <c r="E27" s="26">
        <v>81.4285714285714</v>
      </c>
      <c r="F27" s="26">
        <v>50</v>
      </c>
      <c r="G27" s="27">
        <f t="shared" si="0"/>
        <v>55.4404761904762</v>
      </c>
      <c r="H27" s="27">
        <f t="shared" si="1"/>
        <v>58.9404761904762</v>
      </c>
      <c r="K27" s="28" t="s">
        <v>401</v>
      </c>
      <c r="L27" s="32">
        <v>38</v>
      </c>
      <c r="M27" s="30">
        <v>62</v>
      </c>
      <c r="N27" s="31">
        <v>50.1428571428571</v>
      </c>
      <c r="O27" s="32">
        <v>49</v>
      </c>
      <c r="P27" s="33">
        <f t="shared" si="2"/>
        <v>49.7857142857143</v>
      </c>
      <c r="W27" s="46" t="s">
        <v>729</v>
      </c>
      <c r="X27" s="81" t="s">
        <v>402</v>
      </c>
      <c r="Y27" s="48">
        <v>37</v>
      </c>
      <c r="Z27" s="48">
        <v>65.5</v>
      </c>
      <c r="AA27" s="48">
        <v>45.7</v>
      </c>
      <c r="AB27" s="48">
        <v>50</v>
      </c>
      <c r="AC27" s="70">
        <v>49.5</v>
      </c>
      <c r="AD27" s="70"/>
      <c r="AE27" s="49">
        <v>25</v>
      </c>
      <c r="AF27" s="70">
        <v>44.5035714285714</v>
      </c>
      <c r="AG27" s="46" t="s">
        <v>733</v>
      </c>
      <c r="AN27" s="40" t="s">
        <v>401</v>
      </c>
      <c r="AO27" s="83" t="s">
        <v>402</v>
      </c>
      <c r="AP27" s="43">
        <v>37</v>
      </c>
      <c r="AQ27" s="30">
        <v>65.5</v>
      </c>
      <c r="AR27" s="43">
        <v>45.6666666666667</v>
      </c>
      <c r="AS27" s="77">
        <v>52.4</v>
      </c>
      <c r="AT27" s="78">
        <v>50.1416666666667</v>
      </c>
      <c r="AV27" s="78">
        <v>44.6035714285714</v>
      </c>
      <c r="AW27" s="40" t="s">
        <v>458</v>
      </c>
    </row>
    <row r="28" spans="1:49">
      <c r="A28" s="24" t="s">
        <v>405</v>
      </c>
      <c r="B28" s="26">
        <v>42.3333333333333</v>
      </c>
      <c r="C28" s="25">
        <v>35.5</v>
      </c>
      <c r="D28" s="25">
        <v>45.5</v>
      </c>
      <c r="E28" s="26">
        <v>53.7142857142857</v>
      </c>
      <c r="F28" s="26">
        <v>45.4285714285714</v>
      </c>
      <c r="G28" s="27">
        <f t="shared" si="0"/>
        <v>44.2440476190476</v>
      </c>
      <c r="H28" s="27">
        <f t="shared" si="1"/>
        <v>46.7440476190476</v>
      </c>
      <c r="K28" s="28" t="s">
        <v>405</v>
      </c>
      <c r="L28" s="32">
        <v>42.3333333333333</v>
      </c>
      <c r="M28" s="30">
        <v>63</v>
      </c>
      <c r="N28" s="31">
        <v>50.5714285714286</v>
      </c>
      <c r="O28" s="32">
        <v>39.4</v>
      </c>
      <c r="P28" s="33">
        <f t="shared" si="2"/>
        <v>48.8261904761905</v>
      </c>
      <c r="W28" s="46" t="s">
        <v>734</v>
      </c>
      <c r="X28" s="81" t="s">
        <v>406</v>
      </c>
      <c r="Y28" s="48">
        <v>41</v>
      </c>
      <c r="Z28" s="48">
        <v>61</v>
      </c>
      <c r="AA28" s="48">
        <v>31.8</v>
      </c>
      <c r="AB28" s="48">
        <v>40.4</v>
      </c>
      <c r="AC28" s="70">
        <v>43.6</v>
      </c>
      <c r="AD28" s="70"/>
      <c r="AE28" s="49">
        <v>26</v>
      </c>
      <c r="AF28" s="70">
        <v>43.552380952381</v>
      </c>
      <c r="AG28" s="46" t="s">
        <v>734</v>
      </c>
      <c r="AN28" s="40" t="s">
        <v>405</v>
      </c>
      <c r="AO28" s="83" t="s">
        <v>406</v>
      </c>
      <c r="AP28" s="43">
        <v>41</v>
      </c>
      <c r="AQ28" s="30">
        <v>61</v>
      </c>
      <c r="AR28" s="43">
        <v>31.8095238095238</v>
      </c>
      <c r="AS28" s="77">
        <v>42.2</v>
      </c>
      <c r="AT28" s="78">
        <v>44.0023809523809</v>
      </c>
      <c r="AV28" s="78">
        <v>44.0023809523809</v>
      </c>
      <c r="AW28" s="40" t="s">
        <v>405</v>
      </c>
    </row>
    <row r="29" spans="1:49">
      <c r="A29" s="24" t="s">
        <v>409</v>
      </c>
      <c r="B29" s="26">
        <v>62</v>
      </c>
      <c r="C29" s="25">
        <v>49.5</v>
      </c>
      <c r="D29" s="25">
        <v>22.5</v>
      </c>
      <c r="E29" s="26">
        <v>54</v>
      </c>
      <c r="F29" s="26">
        <v>25.7142857142857</v>
      </c>
      <c r="G29" s="27">
        <f t="shared" si="0"/>
        <v>47.8035714285714</v>
      </c>
      <c r="H29" s="27">
        <f t="shared" si="1"/>
        <v>41.0535714285714</v>
      </c>
      <c r="K29" s="28" t="s">
        <v>409</v>
      </c>
      <c r="L29" s="32">
        <v>66.6666666666667</v>
      </c>
      <c r="M29" s="30">
        <v>31</v>
      </c>
      <c r="N29" s="31">
        <v>46.7142857142857</v>
      </c>
      <c r="O29" s="32">
        <v>28</v>
      </c>
      <c r="P29" s="33">
        <f t="shared" si="2"/>
        <v>43.0952380952381</v>
      </c>
      <c r="W29" s="46" t="s">
        <v>735</v>
      </c>
      <c r="X29" s="81" t="s">
        <v>410</v>
      </c>
      <c r="Y29" s="48">
        <v>66.3</v>
      </c>
      <c r="Z29" s="48">
        <v>25.5</v>
      </c>
      <c r="AA29" s="48">
        <v>42.2</v>
      </c>
      <c r="AB29" s="48">
        <v>28.8</v>
      </c>
      <c r="AC29" s="70">
        <v>40.7</v>
      </c>
      <c r="AD29" s="70"/>
      <c r="AE29" s="49">
        <v>27</v>
      </c>
      <c r="AF29" s="70">
        <v>43.4321428571429</v>
      </c>
      <c r="AG29" s="46" t="s">
        <v>736</v>
      </c>
      <c r="AN29" s="40" t="s">
        <v>409</v>
      </c>
      <c r="AO29" s="83" t="s">
        <v>410</v>
      </c>
      <c r="AP29" s="43">
        <v>66.3333333333333</v>
      </c>
      <c r="AQ29" s="30">
        <v>25.5</v>
      </c>
      <c r="AR29" s="43">
        <v>42.1904761904762</v>
      </c>
      <c r="AS29" s="77">
        <v>30</v>
      </c>
      <c r="AT29" s="78">
        <v>41.0059523809524</v>
      </c>
      <c r="AV29" s="78">
        <v>43.2321428571428</v>
      </c>
      <c r="AW29" s="40" t="s">
        <v>413</v>
      </c>
    </row>
    <row r="30" spans="1:49">
      <c r="A30" s="24" t="s">
        <v>413</v>
      </c>
      <c r="B30" s="26">
        <v>41.3333333333333</v>
      </c>
      <c r="C30" s="25">
        <v>30.5</v>
      </c>
      <c r="D30" s="25">
        <v>33.5</v>
      </c>
      <c r="E30" s="26">
        <v>31.4285714285714</v>
      </c>
      <c r="F30" s="26">
        <v>34.4285714285714</v>
      </c>
      <c r="G30" s="27">
        <f t="shared" si="0"/>
        <v>34.422619047619</v>
      </c>
      <c r="H30" s="27">
        <f t="shared" si="1"/>
        <v>35.172619047619</v>
      </c>
      <c r="K30" s="28" t="s">
        <v>413</v>
      </c>
      <c r="L30" s="32">
        <v>43.6666666666667</v>
      </c>
      <c r="M30" s="30">
        <v>51.5</v>
      </c>
      <c r="N30" s="31">
        <v>31.5714285714286</v>
      </c>
      <c r="O30" s="32">
        <v>38.2</v>
      </c>
      <c r="P30" s="33">
        <f t="shared" si="2"/>
        <v>41.2345238095238</v>
      </c>
      <c r="W30" s="46" t="s">
        <v>736</v>
      </c>
      <c r="X30" s="81" t="s">
        <v>414</v>
      </c>
      <c r="Y30" s="48">
        <v>42.3</v>
      </c>
      <c r="Z30" s="48">
        <v>46.5</v>
      </c>
      <c r="AA30" s="48">
        <v>46.1</v>
      </c>
      <c r="AB30" s="48">
        <v>38.8</v>
      </c>
      <c r="AC30" s="70">
        <v>43.4</v>
      </c>
      <c r="AD30" s="70"/>
      <c r="AE30" s="49">
        <v>28</v>
      </c>
      <c r="AF30" s="70">
        <v>43.2321428571429</v>
      </c>
      <c r="AG30" s="46" t="s">
        <v>737</v>
      </c>
      <c r="AN30" s="40" t="s">
        <v>413</v>
      </c>
      <c r="AO30" s="83" t="s">
        <v>414</v>
      </c>
      <c r="AP30" s="43">
        <v>42.3333333333333</v>
      </c>
      <c r="AQ30" s="30">
        <v>46.5</v>
      </c>
      <c r="AR30" s="43">
        <v>46.0952380952381</v>
      </c>
      <c r="AS30" s="77">
        <v>38</v>
      </c>
      <c r="AT30" s="78">
        <v>43.2321428571428</v>
      </c>
      <c r="AV30" s="78">
        <v>42.7321428571428</v>
      </c>
      <c r="AW30" s="40" t="s">
        <v>454</v>
      </c>
    </row>
    <row r="31" spans="1:49">
      <c r="A31" s="24" t="s">
        <v>417</v>
      </c>
      <c r="B31" s="26">
        <v>50.6666666666667</v>
      </c>
      <c r="C31" s="25">
        <v>47</v>
      </c>
      <c r="D31" s="25">
        <v>51</v>
      </c>
      <c r="E31" s="26">
        <v>24.7142857142857</v>
      </c>
      <c r="F31" s="26">
        <v>26.8571428571429</v>
      </c>
      <c r="G31" s="27">
        <f t="shared" si="0"/>
        <v>37.3095238095238</v>
      </c>
      <c r="H31" s="27">
        <f t="shared" si="1"/>
        <v>38.3095238095238</v>
      </c>
      <c r="K31" s="28" t="s">
        <v>417</v>
      </c>
      <c r="L31" s="32">
        <v>48</v>
      </c>
      <c r="M31" s="30">
        <v>61.5</v>
      </c>
      <c r="N31" s="31">
        <v>17.5714285714286</v>
      </c>
      <c r="O31" s="32">
        <v>27</v>
      </c>
      <c r="P31" s="33">
        <f t="shared" si="2"/>
        <v>38.5178571428571</v>
      </c>
      <c r="W31" s="46" t="s">
        <v>738</v>
      </c>
      <c r="X31" s="81" t="s">
        <v>418</v>
      </c>
      <c r="Y31" s="48">
        <v>48.3</v>
      </c>
      <c r="Z31" s="48">
        <v>61</v>
      </c>
      <c r="AA31" s="48">
        <v>25</v>
      </c>
      <c r="AB31" s="48">
        <v>27.2</v>
      </c>
      <c r="AC31" s="70">
        <v>40.4</v>
      </c>
      <c r="AD31" s="70"/>
      <c r="AE31" s="49">
        <v>29</v>
      </c>
      <c r="AF31" s="70">
        <v>40.7059523809524</v>
      </c>
      <c r="AG31" s="46" t="s">
        <v>735</v>
      </c>
      <c r="AN31" s="40" t="s">
        <v>417</v>
      </c>
      <c r="AO31" s="83" t="s">
        <v>418</v>
      </c>
      <c r="AP31" s="43">
        <v>48.3333333333333</v>
      </c>
      <c r="AQ31" s="30">
        <v>61</v>
      </c>
      <c r="AR31" s="43">
        <v>25</v>
      </c>
      <c r="AS31" s="77">
        <v>28.2</v>
      </c>
      <c r="AT31" s="78">
        <v>40.6333333333333</v>
      </c>
      <c r="AV31" s="78">
        <v>41.377380952381</v>
      </c>
      <c r="AW31" s="40" t="s">
        <v>368</v>
      </c>
    </row>
    <row r="32" spans="1:49">
      <c r="A32" s="24" t="s">
        <v>421</v>
      </c>
      <c r="B32" s="26">
        <v>42</v>
      </c>
      <c r="C32" s="25">
        <v>29</v>
      </c>
      <c r="D32" s="25">
        <v>52</v>
      </c>
      <c r="E32" s="26">
        <v>40.2857142857143</v>
      </c>
      <c r="F32" s="26">
        <v>44.4285714285714</v>
      </c>
      <c r="G32" s="27">
        <f t="shared" si="0"/>
        <v>38.9285714285714</v>
      </c>
      <c r="H32" s="27">
        <f t="shared" si="1"/>
        <v>44.6785714285714</v>
      </c>
      <c r="K32" s="28" t="s">
        <v>421</v>
      </c>
      <c r="L32" s="32">
        <v>39.6666666666667</v>
      </c>
      <c r="M32" s="30">
        <v>45.5</v>
      </c>
      <c r="N32" s="31">
        <v>46.8571428571429</v>
      </c>
      <c r="O32" s="32">
        <v>44.6</v>
      </c>
      <c r="P32" s="33">
        <f t="shared" si="2"/>
        <v>44.1559523809524</v>
      </c>
      <c r="W32" s="46" t="s">
        <v>739</v>
      </c>
      <c r="X32" s="81" t="s">
        <v>422</v>
      </c>
      <c r="Y32" s="48">
        <v>40</v>
      </c>
      <c r="Z32" s="48">
        <v>50.5</v>
      </c>
      <c r="AA32" s="48">
        <v>21.1</v>
      </c>
      <c r="AB32" s="48">
        <v>44.6</v>
      </c>
      <c r="AC32" s="70">
        <v>39.1</v>
      </c>
      <c r="AD32" s="70"/>
      <c r="AE32" s="49">
        <v>30</v>
      </c>
      <c r="AF32" s="70">
        <v>40.677380952381</v>
      </c>
      <c r="AG32" s="46" t="s">
        <v>725</v>
      </c>
      <c r="AN32" s="40" t="s">
        <v>421</v>
      </c>
      <c r="AO32" s="83" t="s">
        <v>422</v>
      </c>
      <c r="AP32" s="43">
        <v>40</v>
      </c>
      <c r="AQ32" s="30">
        <v>50.5</v>
      </c>
      <c r="AR32" s="43">
        <v>21.1428571428571</v>
      </c>
      <c r="AS32" s="77">
        <v>45.2</v>
      </c>
      <c r="AT32" s="78">
        <v>39.2107142857143</v>
      </c>
      <c r="AV32" s="78">
        <v>41.0059523809524</v>
      </c>
      <c r="AW32" s="40" t="s">
        <v>409</v>
      </c>
    </row>
    <row r="33" spans="1:49">
      <c r="A33" s="24" t="s">
        <v>425</v>
      </c>
      <c r="B33" s="26">
        <v>57.6666666666667</v>
      </c>
      <c r="C33" s="25">
        <v>79</v>
      </c>
      <c r="D33" s="25">
        <v>71</v>
      </c>
      <c r="E33" s="26">
        <v>64.8571428571429</v>
      </c>
      <c r="F33" s="26">
        <v>47.8571428571429</v>
      </c>
      <c r="G33" s="27">
        <f t="shared" si="0"/>
        <v>62.3452380952381</v>
      </c>
      <c r="H33" s="27">
        <f t="shared" si="1"/>
        <v>60.3452380952381</v>
      </c>
      <c r="K33" s="28" t="s">
        <v>425</v>
      </c>
      <c r="L33" s="32">
        <v>57.6666666666667</v>
      </c>
      <c r="M33" s="30">
        <v>73.5</v>
      </c>
      <c r="N33" s="31">
        <v>53</v>
      </c>
      <c r="O33" s="32">
        <v>51.4</v>
      </c>
      <c r="P33" s="33">
        <f t="shared" si="2"/>
        <v>58.8916666666667</v>
      </c>
      <c r="W33" s="46" t="s">
        <v>724</v>
      </c>
      <c r="X33" s="81" t="s">
        <v>426</v>
      </c>
      <c r="Y33" s="48">
        <v>57.7</v>
      </c>
      <c r="Z33" s="48">
        <v>74</v>
      </c>
      <c r="AA33" s="48">
        <v>29.7</v>
      </c>
      <c r="AB33" s="48">
        <v>51.6</v>
      </c>
      <c r="AC33" s="70">
        <v>53.2</v>
      </c>
      <c r="AD33" s="70"/>
      <c r="AE33" s="49">
        <v>31</v>
      </c>
      <c r="AF33" s="70">
        <v>40.6321428571429</v>
      </c>
      <c r="AG33" s="46" t="s">
        <v>716</v>
      </c>
      <c r="AN33" s="40" t="s">
        <v>425</v>
      </c>
      <c r="AO33" s="83" t="s">
        <v>426</v>
      </c>
      <c r="AP33" s="43">
        <v>57.6666666666667</v>
      </c>
      <c r="AQ33" s="30">
        <v>74</v>
      </c>
      <c r="AR33" s="43">
        <v>29.6666666666667</v>
      </c>
      <c r="AS33" s="77">
        <v>52.4</v>
      </c>
      <c r="AT33" s="78">
        <v>53.4333333333334</v>
      </c>
      <c r="AV33" s="78">
        <v>40.7321428571428</v>
      </c>
      <c r="AW33" s="40" t="s">
        <v>340</v>
      </c>
    </row>
    <row r="34" spans="1:49">
      <c r="A34" s="24" t="s">
        <v>428</v>
      </c>
      <c r="B34" s="26">
        <v>35</v>
      </c>
      <c r="C34" s="25">
        <v>37</v>
      </c>
      <c r="D34" s="25">
        <v>29</v>
      </c>
      <c r="E34" s="26">
        <v>36.4285714285714</v>
      </c>
      <c r="F34" s="26">
        <v>25.1428571428571</v>
      </c>
      <c r="G34" s="27">
        <f t="shared" si="0"/>
        <v>33.3928571428571</v>
      </c>
      <c r="H34" s="27">
        <f t="shared" si="1"/>
        <v>31.3928571428571</v>
      </c>
      <c r="K34" s="28" t="s">
        <v>428</v>
      </c>
      <c r="L34" s="32">
        <v>33</v>
      </c>
      <c r="M34" s="30">
        <v>28.5</v>
      </c>
      <c r="N34" s="31">
        <v>34.1428571428571</v>
      </c>
      <c r="O34" s="32">
        <v>27</v>
      </c>
      <c r="P34" s="33">
        <f t="shared" si="2"/>
        <v>30.6607142857143</v>
      </c>
      <c r="W34" s="46" t="s">
        <v>740</v>
      </c>
      <c r="X34" s="81" t="s">
        <v>429</v>
      </c>
      <c r="Y34" s="48">
        <v>32</v>
      </c>
      <c r="Z34" s="48">
        <v>54</v>
      </c>
      <c r="AA34" s="48">
        <v>29.7</v>
      </c>
      <c r="AB34" s="48">
        <v>27.4</v>
      </c>
      <c r="AC34" s="70">
        <v>35.8</v>
      </c>
      <c r="AD34" s="70"/>
      <c r="AE34" s="49">
        <v>32</v>
      </c>
      <c r="AF34" s="70">
        <v>40.3833333333333</v>
      </c>
      <c r="AG34" s="46" t="s">
        <v>738</v>
      </c>
      <c r="AN34" s="40" t="s">
        <v>428</v>
      </c>
      <c r="AO34" s="83" t="s">
        <v>429</v>
      </c>
      <c r="AP34" s="43">
        <v>32</v>
      </c>
      <c r="AQ34" s="30">
        <v>54</v>
      </c>
      <c r="AR34" s="43">
        <v>29.6666666666667</v>
      </c>
      <c r="AS34" s="77">
        <v>28.2</v>
      </c>
      <c r="AT34" s="78">
        <v>35.9666666666667</v>
      </c>
      <c r="AV34" s="78">
        <v>40.6333333333333</v>
      </c>
      <c r="AW34" s="40" t="s">
        <v>417</v>
      </c>
    </row>
    <row r="35" spans="1:49">
      <c r="A35" s="24" t="s">
        <v>432</v>
      </c>
      <c r="B35" s="26">
        <v>48.3333333333333</v>
      </c>
      <c r="C35" s="25">
        <v>45.5</v>
      </c>
      <c r="D35" s="25">
        <v>40.5</v>
      </c>
      <c r="E35" s="26">
        <v>81</v>
      </c>
      <c r="F35" s="26">
        <v>56.1428571428571</v>
      </c>
      <c r="G35" s="27">
        <f t="shared" si="0"/>
        <v>57.7440476190476</v>
      </c>
      <c r="H35" s="27">
        <f t="shared" si="1"/>
        <v>56.4940476190476</v>
      </c>
      <c r="K35" s="28" t="s">
        <v>432</v>
      </c>
      <c r="L35" s="32">
        <v>54.6666666666667</v>
      </c>
      <c r="M35" s="30">
        <v>46</v>
      </c>
      <c r="N35" s="31">
        <v>56</v>
      </c>
      <c r="O35" s="32">
        <v>53.6</v>
      </c>
      <c r="P35" s="33">
        <f t="shared" si="2"/>
        <v>52.5666666666667</v>
      </c>
      <c r="W35" s="46" t="s">
        <v>732</v>
      </c>
      <c r="X35" s="81" t="s">
        <v>433</v>
      </c>
      <c r="Y35" s="48">
        <v>54.3</v>
      </c>
      <c r="Z35" s="48">
        <v>45.5</v>
      </c>
      <c r="AA35" s="48">
        <v>32.7</v>
      </c>
      <c r="AB35" s="48">
        <v>54</v>
      </c>
      <c r="AC35" s="70">
        <v>46.6</v>
      </c>
      <c r="AD35" s="70"/>
      <c r="AE35" s="49">
        <v>33</v>
      </c>
      <c r="AF35" s="70">
        <v>39.0607142857143</v>
      </c>
      <c r="AG35" s="46" t="s">
        <v>739</v>
      </c>
      <c r="AN35" s="40" t="s">
        <v>432</v>
      </c>
      <c r="AO35" s="83" t="s">
        <v>433</v>
      </c>
      <c r="AP35" s="43">
        <v>54.3333333333333</v>
      </c>
      <c r="AQ35" s="30">
        <v>45.5</v>
      </c>
      <c r="AR35" s="43">
        <v>32.6666666666667</v>
      </c>
      <c r="AS35" s="77">
        <v>52</v>
      </c>
      <c r="AT35" s="78">
        <v>46.125</v>
      </c>
      <c r="AV35" s="78">
        <v>39.2107142857143</v>
      </c>
      <c r="AW35" s="40" t="s">
        <v>421</v>
      </c>
    </row>
    <row r="36" spans="1:49">
      <c r="A36" s="24" t="s">
        <v>436</v>
      </c>
      <c r="B36" s="26">
        <v>52.6666666666667</v>
      </c>
      <c r="C36" s="25">
        <v>47.5</v>
      </c>
      <c r="D36" s="25">
        <v>64.5</v>
      </c>
      <c r="E36" s="26">
        <v>43.8571428571429</v>
      </c>
      <c r="F36" s="26">
        <v>61.4285714285714</v>
      </c>
      <c r="G36" s="27">
        <f t="shared" si="0"/>
        <v>51.3630952380953</v>
      </c>
      <c r="H36" s="27">
        <f t="shared" si="1"/>
        <v>55.6130952380953</v>
      </c>
      <c r="K36" s="28" t="s">
        <v>436</v>
      </c>
      <c r="L36" s="32">
        <v>52</v>
      </c>
      <c r="M36" s="30">
        <v>75</v>
      </c>
      <c r="N36" s="31">
        <v>49.4285714285714</v>
      </c>
      <c r="O36" s="32">
        <v>65.6</v>
      </c>
      <c r="P36" s="33">
        <f t="shared" si="2"/>
        <v>60.5071428571429</v>
      </c>
      <c r="W36" s="46" t="s">
        <v>715</v>
      </c>
      <c r="X36" s="81" t="s">
        <v>437</v>
      </c>
      <c r="Y36" s="48">
        <v>51.7</v>
      </c>
      <c r="Z36" s="48">
        <v>70</v>
      </c>
      <c r="AA36" s="48">
        <v>34.4</v>
      </c>
      <c r="AB36" s="48">
        <v>66.2</v>
      </c>
      <c r="AC36" s="70">
        <v>55.6</v>
      </c>
      <c r="AD36" s="70"/>
      <c r="AE36" s="49">
        <v>34</v>
      </c>
      <c r="AF36" s="70">
        <v>38.8619047619048</v>
      </c>
      <c r="AG36" s="46" t="s">
        <v>713</v>
      </c>
      <c r="AN36" s="40" t="s">
        <v>436</v>
      </c>
      <c r="AO36" s="83" t="s">
        <v>437</v>
      </c>
      <c r="AP36" s="43">
        <v>51.6666666666667</v>
      </c>
      <c r="AQ36" s="30">
        <v>70</v>
      </c>
      <c r="AR36" s="43">
        <v>34.4285714285714</v>
      </c>
      <c r="AS36" s="77">
        <v>65</v>
      </c>
      <c r="AT36" s="78">
        <v>55.2738095238095</v>
      </c>
      <c r="AV36" s="78">
        <v>39.1619047619048</v>
      </c>
      <c r="AW36" s="40" t="s">
        <v>328</v>
      </c>
    </row>
    <row r="37" spans="1:49">
      <c r="A37" s="24" t="s">
        <v>440</v>
      </c>
      <c r="B37" s="26">
        <v>40.6666666666667</v>
      </c>
      <c r="C37" s="25">
        <v>36.5</v>
      </c>
      <c r="D37" s="25">
        <v>44.5</v>
      </c>
      <c r="E37" s="26">
        <v>50.5714285714286</v>
      </c>
      <c r="F37" s="26">
        <v>28.1428571428571</v>
      </c>
      <c r="G37" s="27">
        <f t="shared" si="0"/>
        <v>38.9702380952381</v>
      </c>
      <c r="H37" s="27">
        <f t="shared" si="1"/>
        <v>40.9702380952381</v>
      </c>
      <c r="K37" s="28" t="s">
        <v>440</v>
      </c>
      <c r="L37" s="32">
        <v>43</v>
      </c>
      <c r="M37" s="30">
        <v>51</v>
      </c>
      <c r="N37" s="31">
        <v>38.7142857142857</v>
      </c>
      <c r="O37" s="32">
        <v>29.6</v>
      </c>
      <c r="P37" s="33">
        <f t="shared" si="2"/>
        <v>40.5785714285714</v>
      </c>
      <c r="W37" s="46" t="s">
        <v>741</v>
      </c>
      <c r="X37" s="81" t="s">
        <v>441</v>
      </c>
      <c r="Y37" s="48">
        <v>42.7</v>
      </c>
      <c r="Z37" s="48">
        <v>53</v>
      </c>
      <c r="AA37" s="48">
        <v>24.5</v>
      </c>
      <c r="AB37" s="48">
        <v>30.2</v>
      </c>
      <c r="AC37" s="70">
        <v>37.6</v>
      </c>
      <c r="AD37" s="70"/>
      <c r="AE37" s="49">
        <v>35</v>
      </c>
      <c r="AF37" s="70">
        <v>37.597619047619</v>
      </c>
      <c r="AG37" s="46" t="s">
        <v>741</v>
      </c>
      <c r="AN37" s="40" t="s">
        <v>440</v>
      </c>
      <c r="AO37" s="83" t="s">
        <v>441</v>
      </c>
      <c r="AP37" s="43">
        <v>42.6666666666667</v>
      </c>
      <c r="AQ37" s="30">
        <v>53</v>
      </c>
      <c r="AR37" s="43">
        <v>24.5238095238095</v>
      </c>
      <c r="AS37" s="77">
        <v>29.8</v>
      </c>
      <c r="AT37" s="78">
        <v>37.4976190476191</v>
      </c>
      <c r="AV37" s="78">
        <v>37.4976190476191</v>
      </c>
      <c r="AW37" s="40" t="s">
        <v>440</v>
      </c>
    </row>
    <row r="38" spans="1:49">
      <c r="A38" s="24" t="s">
        <v>443</v>
      </c>
      <c r="B38" s="26">
        <v>62.3333333333333</v>
      </c>
      <c r="C38" s="25">
        <v>46</v>
      </c>
      <c r="D38" s="25">
        <v>59</v>
      </c>
      <c r="E38" s="26">
        <v>50.1428571428571</v>
      </c>
      <c r="F38" s="26">
        <v>49.4285714285714</v>
      </c>
      <c r="G38" s="27">
        <f t="shared" si="0"/>
        <v>51.9761904761905</v>
      </c>
      <c r="H38" s="27">
        <f t="shared" si="1"/>
        <v>55.2261904761905</v>
      </c>
      <c r="K38" s="28" t="s">
        <v>443</v>
      </c>
      <c r="L38" s="32">
        <v>63</v>
      </c>
      <c r="M38" s="30">
        <v>68.5</v>
      </c>
      <c r="N38" s="31">
        <v>47</v>
      </c>
      <c r="O38" s="32">
        <v>49.2</v>
      </c>
      <c r="P38" s="33">
        <f t="shared" si="2"/>
        <v>56.925</v>
      </c>
      <c r="W38" s="46" t="s">
        <v>717</v>
      </c>
      <c r="X38" s="81" t="s">
        <v>444</v>
      </c>
      <c r="Y38" s="48">
        <v>62.7</v>
      </c>
      <c r="Z38" s="48">
        <v>67.5</v>
      </c>
      <c r="AA38" s="48">
        <v>41</v>
      </c>
      <c r="AB38" s="48">
        <v>49.8</v>
      </c>
      <c r="AC38" s="70">
        <v>55.2</v>
      </c>
      <c r="AD38" s="70"/>
      <c r="AE38" s="49">
        <v>36</v>
      </c>
      <c r="AF38" s="70">
        <v>35.7666666666667</v>
      </c>
      <c r="AG38" s="46" t="s">
        <v>740</v>
      </c>
      <c r="AN38" s="40" t="s">
        <v>443</v>
      </c>
      <c r="AO38" s="83" t="s">
        <v>444</v>
      </c>
      <c r="AP38" s="43">
        <v>62.6666666666667</v>
      </c>
      <c r="AQ38" s="30">
        <v>67.5</v>
      </c>
      <c r="AR38" s="43">
        <v>40.952380952381</v>
      </c>
      <c r="AS38" s="77">
        <v>51.8</v>
      </c>
      <c r="AT38" s="78">
        <v>55.7297619047619</v>
      </c>
      <c r="AV38" s="78">
        <v>35.9666666666667</v>
      </c>
      <c r="AW38" s="40" t="s">
        <v>428</v>
      </c>
    </row>
    <row r="39" spans="1:49">
      <c r="A39" s="24" t="s">
        <v>446</v>
      </c>
      <c r="B39" s="26">
        <v>66</v>
      </c>
      <c r="C39" s="25">
        <v>44.5</v>
      </c>
      <c r="D39" s="25">
        <v>54.5</v>
      </c>
      <c r="E39" s="26">
        <v>52.7142857142857</v>
      </c>
      <c r="F39" s="26">
        <v>46.4285714285714</v>
      </c>
      <c r="G39" s="27">
        <f t="shared" si="0"/>
        <v>52.4107142857143</v>
      </c>
      <c r="H39" s="27">
        <f t="shared" si="1"/>
        <v>54.9107142857143</v>
      </c>
      <c r="K39" s="28" t="s">
        <v>446</v>
      </c>
      <c r="L39" s="32">
        <v>66.6666666666667</v>
      </c>
      <c r="M39" s="30">
        <v>56</v>
      </c>
      <c r="N39" s="31">
        <v>31.1428571428571</v>
      </c>
      <c r="O39" s="32">
        <v>50</v>
      </c>
      <c r="P39" s="33">
        <f t="shared" si="2"/>
        <v>50.952380952381</v>
      </c>
      <c r="W39" s="46" t="s">
        <v>727</v>
      </c>
      <c r="X39" s="81" t="s">
        <v>447</v>
      </c>
      <c r="Y39" s="48">
        <v>66</v>
      </c>
      <c r="Z39" s="48">
        <v>54.5</v>
      </c>
      <c r="AA39" s="48">
        <v>31</v>
      </c>
      <c r="AB39" s="48">
        <v>50.8</v>
      </c>
      <c r="AC39" s="70">
        <v>50.6</v>
      </c>
      <c r="AD39" s="70"/>
      <c r="AE39" s="49">
        <v>37</v>
      </c>
      <c r="AF39" s="70">
        <v>34.0214285714286</v>
      </c>
      <c r="AG39" s="46" t="s">
        <v>722</v>
      </c>
      <c r="AN39" s="40" t="s">
        <v>446</v>
      </c>
      <c r="AO39" s="83" t="s">
        <v>447</v>
      </c>
      <c r="AP39" s="43">
        <v>66</v>
      </c>
      <c r="AQ39" s="30">
        <v>54.5</v>
      </c>
      <c r="AR39" s="43">
        <v>31</v>
      </c>
      <c r="AS39" s="77">
        <v>48.8</v>
      </c>
      <c r="AT39" s="78">
        <v>50.075</v>
      </c>
      <c r="AV39" s="78">
        <v>34.1714285714286</v>
      </c>
      <c r="AW39" s="40" t="s">
        <v>354</v>
      </c>
    </row>
    <row r="40" spans="1:49">
      <c r="A40" s="24" t="s">
        <v>450</v>
      </c>
      <c r="B40" s="26">
        <v>37.6666666666667</v>
      </c>
      <c r="C40" s="25">
        <v>51.5</v>
      </c>
      <c r="D40" s="25">
        <v>37.5</v>
      </c>
      <c r="E40" s="26">
        <v>40.7142857142857</v>
      </c>
      <c r="F40" s="26">
        <v>65</v>
      </c>
      <c r="G40" s="27">
        <f t="shared" si="0"/>
        <v>48.7202380952381</v>
      </c>
      <c r="H40" s="27">
        <f t="shared" si="1"/>
        <v>45.2202380952381</v>
      </c>
      <c r="K40" s="28" t="s">
        <v>450</v>
      </c>
      <c r="L40" s="32">
        <v>35.3333333333333</v>
      </c>
      <c r="M40" s="30">
        <v>26.5</v>
      </c>
      <c r="N40" s="31">
        <v>44.4285714285714</v>
      </c>
      <c r="O40" s="32">
        <v>60.4</v>
      </c>
      <c r="P40" s="33">
        <f t="shared" si="2"/>
        <v>41.6654761904762</v>
      </c>
      <c r="W40" s="46" t="s">
        <v>742</v>
      </c>
      <c r="X40" s="81" t="s">
        <v>451</v>
      </c>
      <c r="Y40" s="48">
        <v>35.3</v>
      </c>
      <c r="Z40" s="48">
        <v>28.5</v>
      </c>
      <c r="AA40" s="48">
        <v>13.4</v>
      </c>
      <c r="AB40" s="48">
        <v>57.8</v>
      </c>
      <c r="AC40" s="70">
        <v>33.8</v>
      </c>
      <c r="AD40" s="70"/>
      <c r="AE40" s="49">
        <v>38</v>
      </c>
      <c r="AF40" s="70">
        <v>33.7535714285714</v>
      </c>
      <c r="AG40" s="46" t="s">
        <v>742</v>
      </c>
      <c r="AN40" s="40" t="s">
        <v>450</v>
      </c>
      <c r="AO40" s="83" t="s">
        <v>451</v>
      </c>
      <c r="AP40" s="43">
        <v>35.3333333333333</v>
      </c>
      <c r="AQ40" s="30">
        <v>28.5</v>
      </c>
      <c r="AR40" s="43">
        <v>13.3809523809524</v>
      </c>
      <c r="AS40" s="77">
        <v>55.8</v>
      </c>
      <c r="AT40" s="78">
        <v>33.2535714285714</v>
      </c>
      <c r="AV40" s="78">
        <v>33.2535714285714</v>
      </c>
      <c r="AW40" s="40" t="s">
        <v>450</v>
      </c>
    </row>
    <row r="41" spans="1:49">
      <c r="A41" s="24" t="s">
        <v>454</v>
      </c>
      <c r="B41" s="26">
        <v>36</v>
      </c>
      <c r="C41" s="25">
        <v>39.5</v>
      </c>
      <c r="D41" s="25">
        <v>54.5</v>
      </c>
      <c r="E41" s="26">
        <v>44.2857142857143</v>
      </c>
      <c r="F41" s="26">
        <v>59.5714285714286</v>
      </c>
      <c r="G41" s="27">
        <f t="shared" si="0"/>
        <v>44.8392857142857</v>
      </c>
      <c r="H41" s="27">
        <f t="shared" si="1"/>
        <v>48.5892857142857</v>
      </c>
      <c r="K41" s="28" t="s">
        <v>454</v>
      </c>
      <c r="L41" s="32">
        <v>33</v>
      </c>
      <c r="M41" s="30">
        <v>55</v>
      </c>
      <c r="N41" s="31">
        <v>34.5714285714286</v>
      </c>
      <c r="O41" s="32">
        <v>55.4</v>
      </c>
      <c r="P41" s="33">
        <f t="shared" si="2"/>
        <v>44.4928571428571</v>
      </c>
      <c r="W41" s="46" t="s">
        <v>737</v>
      </c>
      <c r="X41" s="81" t="s">
        <v>455</v>
      </c>
      <c r="Y41" s="48">
        <v>32.3</v>
      </c>
      <c r="Z41" s="48">
        <v>53.5</v>
      </c>
      <c r="AA41" s="48">
        <v>36.1</v>
      </c>
      <c r="AB41" s="48">
        <v>51</v>
      </c>
      <c r="AC41" s="70">
        <v>43.2</v>
      </c>
      <c r="AD41" s="70"/>
      <c r="AE41" s="49">
        <v>39</v>
      </c>
      <c r="AF41" s="70">
        <v>32.3690476190476</v>
      </c>
      <c r="AG41" s="46" t="s">
        <v>714</v>
      </c>
      <c r="AN41" s="40" t="s">
        <v>454</v>
      </c>
      <c r="AO41" s="83" t="s">
        <v>455</v>
      </c>
      <c r="AP41" s="43">
        <v>32.3333333333333</v>
      </c>
      <c r="AQ41" s="30">
        <v>53.5</v>
      </c>
      <c r="AR41" s="43">
        <v>36.0952380952381</v>
      </c>
      <c r="AS41" s="77">
        <v>49</v>
      </c>
      <c r="AT41" s="78">
        <v>42.7321428571428</v>
      </c>
      <c r="AV41" s="78">
        <v>32.4190476190476</v>
      </c>
      <c r="AW41" s="40" t="s">
        <v>334</v>
      </c>
    </row>
    <row r="42" ht="15.5" customHeight="1" spans="1:49">
      <c r="A42" s="24" t="s">
        <v>458</v>
      </c>
      <c r="B42" s="26">
        <v>43.3333333333333</v>
      </c>
      <c r="C42" s="25">
        <v>27.5</v>
      </c>
      <c r="D42" s="25">
        <v>42.5</v>
      </c>
      <c r="E42" s="26">
        <v>67.2857142857143</v>
      </c>
      <c r="F42" s="26">
        <v>47.4285714285714</v>
      </c>
      <c r="G42" s="27">
        <f t="shared" si="0"/>
        <v>46.3869047619048</v>
      </c>
      <c r="H42" s="27">
        <f t="shared" si="1"/>
        <v>50.1369047619048</v>
      </c>
      <c r="K42" s="28" t="s">
        <v>458</v>
      </c>
      <c r="L42" s="32">
        <v>43.6666666666667</v>
      </c>
      <c r="M42" s="30">
        <v>42</v>
      </c>
      <c r="N42" s="31">
        <v>53</v>
      </c>
      <c r="O42" s="32">
        <v>45.6</v>
      </c>
      <c r="P42" s="33">
        <f t="shared" si="2"/>
        <v>46.0666666666667</v>
      </c>
      <c r="R42" s="66"/>
      <c r="S42" s="88"/>
      <c r="W42" s="46" t="s">
        <v>733</v>
      </c>
      <c r="X42" s="81" t="s">
        <v>459</v>
      </c>
      <c r="Y42" s="48">
        <v>44</v>
      </c>
      <c r="Z42" s="48">
        <v>39.5</v>
      </c>
      <c r="AA42" s="48">
        <v>48.7</v>
      </c>
      <c r="AB42" s="48">
        <v>45.8</v>
      </c>
      <c r="AC42" s="70">
        <v>44.5</v>
      </c>
      <c r="AD42" s="70"/>
      <c r="AE42" s="49">
        <v>40</v>
      </c>
      <c r="AF42" s="70">
        <v>30.6023809523809</v>
      </c>
      <c r="AG42" s="46" t="s">
        <v>719</v>
      </c>
      <c r="AN42" s="40" t="s">
        <v>458</v>
      </c>
      <c r="AO42" s="83" t="s">
        <v>459</v>
      </c>
      <c r="AP42" s="43">
        <v>44</v>
      </c>
      <c r="AQ42" s="30">
        <v>39.5</v>
      </c>
      <c r="AR42" s="43">
        <v>48.7142857142857</v>
      </c>
      <c r="AS42" s="77">
        <v>46.2</v>
      </c>
      <c r="AT42" s="78">
        <v>44.6035714285714</v>
      </c>
      <c r="AV42" s="78">
        <v>30.202380952381</v>
      </c>
      <c r="AW42" s="40" t="s">
        <v>344</v>
      </c>
    </row>
    <row r="43" spans="1:49">
      <c r="A43"/>
      <c r="M43" s="89"/>
      <c r="N43" s="90"/>
      <c r="W43" s="91" t="s">
        <v>743</v>
      </c>
      <c r="X43" s="92"/>
      <c r="Y43" s="78"/>
      <c r="Z43" s="93"/>
      <c r="AA43" s="93"/>
      <c r="AB43" s="93"/>
      <c r="AC43" s="94"/>
      <c r="AD43" s="94"/>
      <c r="AF43" s="94"/>
      <c r="AG43" s="91" t="s">
        <v>743</v>
      </c>
      <c r="AN43" s="95" t="s">
        <v>744</v>
      </c>
      <c r="AO43" s="96"/>
      <c r="AP43" s="97"/>
      <c r="AQ43" s="89"/>
      <c r="AR43" s="98"/>
      <c r="AS43" s="99"/>
      <c r="AT43" s="98"/>
      <c r="AV43" s="98"/>
      <c r="AW43" s="95" t="s">
        <v>744</v>
      </c>
    </row>
    <row r="44" spans="1:49">
      <c r="A44"/>
      <c r="B44" s="72"/>
      <c r="L44" s="100"/>
      <c r="N44" s="101"/>
      <c r="AN44" s="102"/>
      <c r="AO44" s="103"/>
      <c r="AP44" s="104"/>
      <c r="AR44" s="104"/>
      <c r="AS44" s="43"/>
      <c r="AT44" s="104"/>
      <c r="AV44" s="104"/>
      <c r="AW44" s="102"/>
    </row>
    <row r="45" spans="1:49">
      <c r="A45"/>
      <c r="N45" s="101"/>
      <c r="AN45" s="102"/>
      <c r="AO45" s="103"/>
      <c r="AP45" s="104"/>
      <c r="AR45" s="104"/>
      <c r="AS45" s="43"/>
      <c r="AT45" s="104"/>
      <c r="AV45" s="104"/>
      <c r="AW45" s="102"/>
    </row>
    <row r="46" spans="1:49">
      <c r="A46"/>
      <c r="N46" s="101"/>
      <c r="AN46" s="102"/>
      <c r="AO46" s="103"/>
      <c r="AP46" s="104"/>
      <c r="AR46" s="104"/>
      <c r="AS46" s="43"/>
      <c r="AT46" s="104"/>
      <c r="AV46" s="104"/>
      <c r="AW46" s="102"/>
    </row>
    <row r="47" spans="1:49">
      <c r="A47"/>
      <c r="N47" s="101"/>
      <c r="AN47" s="102"/>
      <c r="AO47" s="103"/>
      <c r="AP47" s="104"/>
      <c r="AR47" s="104"/>
      <c r="AS47" s="43"/>
      <c r="AT47" s="104"/>
      <c r="AV47" s="104"/>
      <c r="AW47" s="102"/>
    </row>
    <row r="48" spans="1:49">
      <c r="A48"/>
      <c r="N48" s="101"/>
      <c r="AN48" s="102"/>
      <c r="AO48" s="103"/>
      <c r="AP48" s="104"/>
      <c r="AR48" s="104"/>
      <c r="AS48" s="43"/>
      <c r="AT48" s="104"/>
      <c r="AV48" s="104"/>
      <c r="AW48" s="102"/>
    </row>
    <row r="49" spans="1:49">
      <c r="A49"/>
      <c r="N49" s="101"/>
      <c r="AN49" s="102"/>
      <c r="AO49" s="103"/>
      <c r="AP49" s="104"/>
      <c r="AR49" s="104"/>
      <c r="AS49" s="43"/>
      <c r="AT49" s="104"/>
      <c r="AV49" s="104"/>
      <c r="AW49" s="102"/>
    </row>
    <row r="50" spans="1:49">
      <c r="A50"/>
      <c r="N50" s="101"/>
      <c r="AN50" s="102"/>
      <c r="AO50" s="103"/>
      <c r="AP50" s="104"/>
      <c r="AR50" s="104"/>
      <c r="AS50" s="43"/>
      <c r="AT50" s="104"/>
      <c r="AV50" s="104"/>
      <c r="AW50" s="102"/>
    </row>
    <row r="51" spans="1:49">
      <c r="A51"/>
      <c r="N51" s="101"/>
      <c r="AN51" s="102"/>
      <c r="AO51" s="103"/>
      <c r="AP51" s="104"/>
      <c r="AR51" s="104"/>
      <c r="AS51" s="43"/>
      <c r="AT51" s="104"/>
      <c r="AV51" s="104"/>
      <c r="AW51" s="102"/>
    </row>
    <row r="52" spans="1:49">
      <c r="A52"/>
      <c r="N52" s="101"/>
      <c r="AN52" s="102"/>
      <c r="AO52" s="103"/>
      <c r="AP52" s="104"/>
      <c r="AR52" s="104"/>
      <c r="AS52" s="43"/>
      <c r="AT52" s="104"/>
      <c r="AV52" s="104"/>
      <c r="AW52" s="102"/>
    </row>
    <row r="53" spans="1:49">
      <c r="A53"/>
      <c r="N53" s="101"/>
      <c r="AN53" s="102"/>
      <c r="AO53" s="103"/>
      <c r="AP53" s="104"/>
      <c r="AR53" s="104"/>
      <c r="AS53" s="43"/>
      <c r="AT53" s="104"/>
      <c r="AV53" s="104"/>
      <c r="AW53" s="102"/>
    </row>
    <row r="54" spans="1:49">
      <c r="A54"/>
      <c r="N54" s="101"/>
      <c r="AN54" s="102"/>
      <c r="AO54" s="103"/>
      <c r="AP54" s="104"/>
      <c r="AR54" s="104"/>
      <c r="AS54" s="43"/>
      <c r="AT54" s="104"/>
      <c r="AV54" s="104"/>
      <c r="AW54" s="102"/>
    </row>
    <row r="55" spans="1:49">
      <c r="A55"/>
      <c r="N55" s="101"/>
      <c r="AN55" s="102"/>
      <c r="AO55" s="103"/>
      <c r="AP55" s="104"/>
      <c r="AR55" s="104"/>
      <c r="AS55" s="43"/>
      <c r="AT55" s="104"/>
      <c r="AV55" s="104"/>
      <c r="AW55" s="102"/>
    </row>
    <row r="56" spans="1:49">
      <c r="A56"/>
      <c r="N56" s="101"/>
      <c r="AN56" s="102"/>
      <c r="AO56" s="103"/>
      <c r="AP56" s="104"/>
      <c r="AR56" s="104"/>
      <c r="AS56" s="43"/>
      <c r="AT56" s="104"/>
      <c r="AV56" s="104"/>
      <c r="AW56" s="102"/>
    </row>
    <row r="57" spans="1:49">
      <c r="A57"/>
      <c r="N57" s="101"/>
      <c r="AN57" s="102"/>
      <c r="AO57" s="103"/>
      <c r="AP57" s="104"/>
      <c r="AR57" s="104"/>
      <c r="AS57" s="43"/>
      <c r="AT57" s="104"/>
      <c r="AV57" s="104"/>
      <c r="AW57" s="102"/>
    </row>
    <row r="58" spans="1:49">
      <c r="A58"/>
      <c r="N58" s="101"/>
      <c r="AN58" s="102"/>
      <c r="AO58" s="103"/>
      <c r="AP58" s="104"/>
      <c r="AR58" s="104"/>
      <c r="AS58" s="43"/>
      <c r="AT58" s="104"/>
      <c r="AV58" s="104"/>
      <c r="AW58" s="102"/>
    </row>
    <row r="59" spans="1:49">
      <c r="A59"/>
      <c r="N59" s="101"/>
      <c r="AN59" s="102"/>
      <c r="AO59" s="103"/>
      <c r="AP59" s="104"/>
      <c r="AR59" s="104"/>
      <c r="AS59" s="43"/>
      <c r="AT59" s="104"/>
      <c r="AV59" s="104"/>
      <c r="AW59" s="102"/>
    </row>
    <row r="60" spans="1:49">
      <c r="A60"/>
      <c r="N60" s="101"/>
      <c r="AN60" s="102"/>
      <c r="AO60" s="103"/>
      <c r="AP60" s="104"/>
      <c r="AR60" s="104"/>
      <c r="AS60" s="43"/>
      <c r="AT60" s="104"/>
      <c r="AV60" s="104"/>
      <c r="AW60" s="102"/>
    </row>
    <row r="61" spans="1:49">
      <c r="A61"/>
      <c r="N61" s="101"/>
      <c r="AN61" s="102"/>
      <c r="AO61" s="103"/>
      <c r="AP61" s="104"/>
      <c r="AR61" s="104"/>
      <c r="AS61" s="43"/>
      <c r="AT61" s="104"/>
      <c r="AV61" s="104"/>
      <c r="AW61" s="102"/>
    </row>
    <row r="62" spans="1:49">
      <c r="A62"/>
      <c r="N62" s="101"/>
      <c r="AN62" s="102"/>
      <c r="AO62" s="103"/>
      <c r="AP62" s="104"/>
      <c r="AR62" s="104"/>
      <c r="AS62" s="43"/>
      <c r="AT62" s="104"/>
      <c r="AV62" s="104"/>
      <c r="AW62" s="102"/>
    </row>
    <row r="63" spans="1:49">
      <c r="A63"/>
      <c r="N63" s="101"/>
      <c r="AN63" s="102"/>
      <c r="AO63" s="103"/>
      <c r="AP63" s="104"/>
      <c r="AR63" s="104"/>
      <c r="AS63" s="43"/>
      <c r="AT63" s="104"/>
      <c r="AV63" s="104"/>
      <c r="AW63" s="102"/>
    </row>
    <row r="64" spans="1:49">
      <c r="A64"/>
      <c r="N64" s="101"/>
      <c r="AN64" s="102"/>
      <c r="AO64" s="103"/>
      <c r="AP64" s="104"/>
      <c r="AR64" s="104"/>
      <c r="AS64" s="43"/>
      <c r="AT64" s="104"/>
      <c r="AV64" s="104"/>
      <c r="AW64" s="102"/>
    </row>
    <row r="65" spans="1:49">
      <c r="A65"/>
      <c r="N65" s="101"/>
      <c r="AN65" s="102"/>
      <c r="AO65" s="103"/>
      <c r="AP65" s="104"/>
      <c r="AR65" s="104"/>
      <c r="AS65" s="43"/>
      <c r="AT65" s="104"/>
      <c r="AV65" s="104"/>
      <c r="AW65" s="102"/>
    </row>
    <row r="66" spans="1:49">
      <c r="A66"/>
      <c r="N66" s="101"/>
      <c r="AN66" s="102"/>
      <c r="AO66" s="103"/>
      <c r="AP66" s="104"/>
      <c r="AR66" s="104"/>
      <c r="AS66" s="43"/>
      <c r="AT66" s="104"/>
      <c r="AV66" s="104"/>
      <c r="AW66" s="102"/>
    </row>
    <row r="67" spans="1:49">
      <c r="A67"/>
      <c r="N67" s="101"/>
      <c r="AN67" s="102"/>
      <c r="AO67" s="103"/>
      <c r="AP67" s="104"/>
      <c r="AR67" s="104"/>
      <c r="AS67" s="43"/>
      <c r="AT67" s="104"/>
      <c r="AV67" s="104"/>
      <c r="AW67" s="102"/>
    </row>
    <row r="68" spans="1:49">
      <c r="A68"/>
      <c r="N68" s="101"/>
      <c r="AN68" s="102"/>
      <c r="AO68" s="103"/>
      <c r="AP68" s="104"/>
      <c r="AR68" s="104"/>
      <c r="AS68" s="43"/>
      <c r="AT68" s="104"/>
      <c r="AV68" s="104"/>
      <c r="AW68" s="102"/>
    </row>
    <row r="69" spans="1:49">
      <c r="A69"/>
      <c r="N69" s="101"/>
      <c r="AN69" s="102"/>
      <c r="AO69" s="103"/>
      <c r="AP69" s="104"/>
      <c r="AR69" s="104"/>
      <c r="AS69" s="43"/>
      <c r="AT69" s="104"/>
      <c r="AV69" s="104"/>
      <c r="AW69" s="102"/>
    </row>
    <row r="70" spans="1:49">
      <c r="A70"/>
      <c r="N70" s="101"/>
      <c r="AN70" s="102"/>
      <c r="AO70" s="103"/>
      <c r="AP70" s="104"/>
      <c r="AR70" s="104"/>
      <c r="AS70" s="43"/>
      <c r="AT70" s="104"/>
      <c r="AV70" s="104"/>
      <c r="AW70" s="102"/>
    </row>
    <row r="71" spans="1:49">
      <c r="A71"/>
      <c r="N71" s="101"/>
      <c r="AN71" s="102"/>
      <c r="AO71" s="103"/>
      <c r="AP71" s="104"/>
      <c r="AR71" s="104"/>
      <c r="AS71" s="43"/>
      <c r="AT71" s="104"/>
      <c r="AV71" s="104"/>
      <c r="AW71" s="102"/>
    </row>
    <row r="72" spans="1:49">
      <c r="A72"/>
      <c r="N72" s="101"/>
      <c r="AN72" s="102"/>
      <c r="AO72" s="103"/>
      <c r="AP72" s="104"/>
      <c r="AR72" s="104"/>
      <c r="AS72" s="43"/>
      <c r="AT72" s="104"/>
      <c r="AV72" s="104"/>
      <c r="AW72" s="102"/>
    </row>
    <row r="73" spans="1:49">
      <c r="A73"/>
      <c r="N73" s="101"/>
      <c r="AN73" s="102"/>
      <c r="AO73" s="103"/>
      <c r="AP73" s="104"/>
      <c r="AR73" s="104"/>
      <c r="AS73" s="43"/>
      <c r="AT73" s="104"/>
      <c r="AV73" s="104"/>
      <c r="AW73" s="102"/>
    </row>
    <row r="74" spans="1:49">
      <c r="A74"/>
      <c r="N74" s="101"/>
      <c r="AN74" s="102"/>
      <c r="AO74" s="103"/>
      <c r="AP74" s="104"/>
      <c r="AR74" s="104"/>
      <c r="AS74" s="43"/>
      <c r="AT74" s="104"/>
      <c r="AV74" s="104"/>
      <c r="AW74" s="102"/>
    </row>
    <row r="75" spans="1:49">
      <c r="A75"/>
      <c r="N75" s="101"/>
      <c r="AN75" s="102"/>
      <c r="AO75" s="103"/>
      <c r="AP75" s="104"/>
      <c r="AR75" s="104"/>
      <c r="AS75" s="43"/>
      <c r="AT75" s="104"/>
      <c r="AV75" s="104"/>
      <c r="AW75" s="102"/>
    </row>
    <row r="76" spans="1:49">
      <c r="A76"/>
      <c r="N76" s="101"/>
      <c r="AN76" s="102"/>
      <c r="AO76" s="103"/>
      <c r="AP76" s="104"/>
      <c r="AR76" s="104"/>
      <c r="AS76" s="43"/>
      <c r="AT76" s="104"/>
      <c r="AV76" s="104"/>
      <c r="AW76" s="102"/>
    </row>
    <row r="77" spans="1:49">
      <c r="A77"/>
      <c r="N77" s="101"/>
      <c r="AN77" s="102"/>
      <c r="AO77" s="103"/>
      <c r="AP77" s="104"/>
      <c r="AR77" s="104"/>
      <c r="AS77" s="43"/>
      <c r="AT77" s="104"/>
      <c r="AV77" s="104"/>
      <c r="AW77" s="102"/>
    </row>
    <row r="78" spans="1:49">
      <c r="A78"/>
      <c r="N78" s="101"/>
      <c r="AN78" s="102"/>
      <c r="AO78" s="103"/>
      <c r="AP78" s="104"/>
      <c r="AR78" s="104"/>
      <c r="AS78" s="43"/>
      <c r="AT78" s="104"/>
      <c r="AV78" s="104"/>
      <c r="AW78" s="102"/>
    </row>
    <row r="79" spans="1:49">
      <c r="A79"/>
      <c r="N79" s="101"/>
      <c r="AN79" s="102"/>
      <c r="AO79" s="103"/>
      <c r="AP79" s="104"/>
      <c r="AR79" s="104"/>
      <c r="AS79" s="43"/>
      <c r="AT79" s="104"/>
      <c r="AV79" s="104"/>
      <c r="AW79" s="102"/>
    </row>
    <row r="80" spans="1:49">
      <c r="A80"/>
      <c r="N80" s="101"/>
      <c r="AN80" s="102"/>
      <c r="AO80" s="103"/>
      <c r="AP80" s="104"/>
      <c r="AR80" s="104"/>
      <c r="AS80" s="43"/>
      <c r="AT80" s="104"/>
      <c r="AV80" s="104"/>
      <c r="AW80" s="102"/>
    </row>
    <row r="81" spans="1:49">
      <c r="A81"/>
      <c r="N81" s="101"/>
      <c r="AN81" s="102"/>
      <c r="AO81" s="103"/>
      <c r="AP81" s="104"/>
      <c r="AR81" s="104"/>
      <c r="AS81" s="43"/>
      <c r="AT81" s="104"/>
      <c r="AV81" s="104"/>
      <c r="AW81" s="102"/>
    </row>
    <row r="82" spans="1:49">
      <c r="A82"/>
      <c r="N82" s="101"/>
      <c r="AN82" s="102"/>
      <c r="AO82" s="103"/>
      <c r="AP82" s="104"/>
      <c r="AR82" s="104"/>
      <c r="AS82" s="43"/>
      <c r="AT82" s="104"/>
      <c r="AV82" s="104"/>
      <c r="AW82" s="102"/>
    </row>
    <row r="83" spans="1:49">
      <c r="A83"/>
      <c r="N83" s="101"/>
      <c r="AN83" s="102"/>
      <c r="AO83" s="103"/>
      <c r="AP83" s="104"/>
      <c r="AR83" s="104"/>
      <c r="AS83" s="43"/>
      <c r="AT83" s="104"/>
      <c r="AV83" s="104"/>
      <c r="AW83" s="102"/>
    </row>
    <row r="84" spans="1:49">
      <c r="A84"/>
      <c r="N84" s="101"/>
      <c r="Y84" s="78"/>
      <c r="AN84" s="102"/>
      <c r="AO84" s="103"/>
      <c r="AP84" s="104"/>
      <c r="AR84" s="104"/>
      <c r="AS84" s="43"/>
      <c r="AT84" s="104"/>
      <c r="AV84" s="104"/>
      <c r="AW84" s="102"/>
    </row>
    <row r="85" spans="1:49">
      <c r="A85"/>
      <c r="N85" s="101"/>
      <c r="AN85" s="102"/>
      <c r="AO85" s="103"/>
      <c r="AP85" s="104"/>
      <c r="AR85" s="104"/>
      <c r="AS85" s="43"/>
      <c r="AT85" s="104"/>
      <c r="AV85" s="104"/>
      <c r="AW85" s="102"/>
    </row>
    <row r="86" spans="1:49">
      <c r="A86"/>
      <c r="N86" s="101"/>
      <c r="AN86" s="102"/>
      <c r="AO86" s="103"/>
      <c r="AP86" s="104"/>
      <c r="AR86" s="104"/>
      <c r="AS86" s="43"/>
      <c r="AT86" s="104"/>
      <c r="AV86" s="104"/>
      <c r="AW86" s="102"/>
    </row>
    <row r="87" spans="1:49">
      <c r="A87"/>
      <c r="N87" s="101"/>
      <c r="AN87" s="102"/>
      <c r="AO87" s="103"/>
      <c r="AP87" s="104"/>
      <c r="AR87" s="104"/>
      <c r="AS87" s="43"/>
      <c r="AT87" s="104"/>
      <c r="AV87" s="104"/>
      <c r="AW87" s="102"/>
    </row>
    <row r="88" spans="1:49">
      <c r="A88"/>
      <c r="N88" s="101"/>
      <c r="AN88" s="102"/>
      <c r="AO88" s="103"/>
      <c r="AP88" s="104"/>
      <c r="AR88" s="104"/>
      <c r="AS88" s="43"/>
      <c r="AT88" s="104"/>
      <c r="AV88" s="104"/>
      <c r="AW88" s="102"/>
    </row>
    <row r="89" spans="1:49">
      <c r="A89"/>
      <c r="N89" s="101"/>
      <c r="AN89" s="102"/>
      <c r="AO89" s="103"/>
      <c r="AP89" s="104"/>
      <c r="AR89" s="104"/>
      <c r="AS89" s="43"/>
      <c r="AT89" s="104"/>
      <c r="AV89" s="104"/>
      <c r="AW89" s="102"/>
    </row>
    <row r="90" spans="1:49">
      <c r="A90"/>
      <c r="N90" s="101"/>
      <c r="AN90" s="102"/>
      <c r="AO90" s="103"/>
      <c r="AP90" s="104"/>
      <c r="AR90" s="104"/>
      <c r="AS90" s="43"/>
      <c r="AT90" s="104"/>
      <c r="AV90" s="104"/>
      <c r="AW90" s="102"/>
    </row>
    <row r="91" spans="1:49">
      <c r="A91"/>
      <c r="N91" s="101"/>
      <c r="AN91" s="102"/>
      <c r="AO91" s="103"/>
      <c r="AP91" s="104"/>
      <c r="AR91" s="104"/>
      <c r="AS91" s="43"/>
      <c r="AT91" s="104"/>
      <c r="AV91" s="104"/>
      <c r="AW91" s="102"/>
    </row>
    <row r="92" spans="1:49">
      <c r="A92"/>
      <c r="N92" s="101"/>
      <c r="AN92" s="102"/>
      <c r="AO92" s="103"/>
      <c r="AP92" s="104"/>
      <c r="AR92" s="104"/>
      <c r="AS92" s="43"/>
      <c r="AT92" s="104"/>
      <c r="AV92" s="104"/>
      <c r="AW92" s="102"/>
    </row>
    <row r="93" spans="1:49">
      <c r="A93"/>
      <c r="N93" s="101"/>
      <c r="AN93" s="102"/>
      <c r="AO93" s="103"/>
      <c r="AP93" s="104"/>
      <c r="AR93" s="104"/>
      <c r="AS93" s="43"/>
      <c r="AT93" s="104"/>
      <c r="AV93" s="104"/>
      <c r="AW93" s="102"/>
    </row>
    <row r="94" spans="1:49">
      <c r="A94"/>
      <c r="N94" s="101"/>
      <c r="AN94" s="102"/>
      <c r="AO94" s="103"/>
      <c r="AP94" s="104"/>
      <c r="AR94" s="104"/>
      <c r="AS94" s="43"/>
      <c r="AT94" s="104"/>
      <c r="AV94" s="104"/>
      <c r="AW94" s="102"/>
    </row>
    <row r="95" spans="1:49">
      <c r="A95"/>
      <c r="N95" s="101"/>
      <c r="AN95" s="102"/>
      <c r="AO95" s="103"/>
      <c r="AP95" s="104"/>
      <c r="AR95" s="104"/>
      <c r="AS95" s="43"/>
      <c r="AT95" s="104"/>
      <c r="AV95" s="104"/>
      <c r="AW95" s="102"/>
    </row>
    <row r="96" spans="1:49">
      <c r="A96"/>
      <c r="N96" s="101"/>
      <c r="AN96" s="102"/>
      <c r="AO96" s="103"/>
      <c r="AP96" s="104"/>
      <c r="AR96" s="104"/>
      <c r="AS96" s="43"/>
      <c r="AT96" s="104"/>
      <c r="AV96" s="104"/>
      <c r="AW96" s="102"/>
    </row>
    <row r="97" spans="1:49">
      <c r="A97"/>
      <c r="N97" s="101"/>
      <c r="AN97" s="102"/>
      <c r="AO97" s="103"/>
      <c r="AP97" s="104"/>
      <c r="AR97" s="104"/>
      <c r="AS97" s="43"/>
      <c r="AT97" s="104"/>
      <c r="AV97" s="104"/>
      <c r="AW97" s="102"/>
    </row>
    <row r="98" spans="1:49">
      <c r="A98"/>
      <c r="N98" s="101"/>
      <c r="AN98" s="102"/>
      <c r="AO98" s="103"/>
      <c r="AP98" s="104"/>
      <c r="AR98" s="104"/>
      <c r="AS98" s="43"/>
      <c r="AT98" s="104"/>
      <c r="AV98" s="104"/>
      <c r="AW98" s="102"/>
    </row>
    <row r="99" spans="1:49">
      <c r="A99"/>
      <c r="N99" s="101"/>
      <c r="AN99" s="102"/>
      <c r="AO99" s="103"/>
      <c r="AP99" s="104"/>
      <c r="AR99" s="104"/>
      <c r="AS99" s="43"/>
      <c r="AT99" s="104"/>
      <c r="AV99" s="104"/>
      <c r="AW99" s="102"/>
    </row>
    <row r="100" spans="1:49">
      <c r="A100"/>
      <c r="N100" s="101"/>
      <c r="AN100" s="102"/>
      <c r="AO100" s="103"/>
      <c r="AP100" s="104"/>
      <c r="AR100" s="104"/>
      <c r="AS100" s="43"/>
      <c r="AT100" s="104"/>
      <c r="AV100" s="104"/>
      <c r="AW100" s="102"/>
    </row>
    <row r="101" spans="1:49">
      <c r="A101"/>
      <c r="N101" s="101"/>
      <c r="AN101" s="102"/>
      <c r="AO101" s="103"/>
      <c r="AP101" s="104"/>
      <c r="AR101" s="104"/>
      <c r="AS101" s="43"/>
      <c r="AT101" s="104"/>
      <c r="AV101" s="104"/>
      <c r="AW101" s="102"/>
    </row>
    <row r="102" spans="1:49">
      <c r="A102"/>
      <c r="N102" s="101"/>
      <c r="AN102" s="102"/>
      <c r="AO102" s="103"/>
      <c r="AP102" s="104"/>
      <c r="AR102" s="104"/>
      <c r="AS102" s="43"/>
      <c r="AT102" s="104"/>
      <c r="AV102" s="104"/>
      <c r="AW102" s="102"/>
    </row>
    <row r="103" spans="1:49">
      <c r="A103"/>
      <c r="N103" s="101"/>
      <c r="AN103" s="102"/>
      <c r="AO103" s="103"/>
      <c r="AP103" s="104"/>
      <c r="AR103" s="104"/>
      <c r="AS103" s="43"/>
      <c r="AT103" s="104"/>
      <c r="AV103" s="104"/>
      <c r="AW103" s="102"/>
    </row>
    <row r="104" spans="1:49">
      <c r="A104"/>
      <c r="N104" s="101"/>
      <c r="AN104" s="102"/>
      <c r="AO104" s="103"/>
      <c r="AP104" s="104"/>
      <c r="AR104" s="104"/>
      <c r="AS104" s="43"/>
      <c r="AT104" s="104"/>
      <c r="AV104" s="104"/>
      <c r="AW104" s="102"/>
    </row>
    <row r="105" spans="1:49">
      <c r="A105"/>
      <c r="N105" s="101"/>
      <c r="AN105" s="102"/>
      <c r="AO105" s="103"/>
      <c r="AP105" s="104"/>
      <c r="AR105" s="104"/>
      <c r="AS105" s="43"/>
      <c r="AT105" s="104"/>
      <c r="AV105" s="104"/>
      <c r="AW105" s="102"/>
    </row>
    <row r="106" spans="1:49">
      <c r="A106"/>
      <c r="N106" s="101"/>
      <c r="AN106" s="102"/>
      <c r="AO106" s="103"/>
      <c r="AP106" s="104"/>
      <c r="AR106" s="104"/>
      <c r="AS106" s="43"/>
      <c r="AT106" s="104"/>
      <c r="AV106" s="104"/>
      <c r="AW106" s="102"/>
    </row>
    <row r="107" spans="1:49">
      <c r="A107"/>
      <c r="N107" s="101"/>
      <c r="AN107" s="102"/>
      <c r="AO107" s="103"/>
      <c r="AP107" s="104"/>
      <c r="AR107" s="104"/>
      <c r="AS107" s="43"/>
      <c r="AT107" s="104"/>
      <c r="AV107" s="104"/>
      <c r="AW107" s="102"/>
    </row>
    <row r="108" spans="1:49">
      <c r="A108"/>
      <c r="N108" s="101"/>
      <c r="AN108" s="102"/>
      <c r="AO108" s="103"/>
      <c r="AP108" s="104"/>
      <c r="AR108" s="104"/>
      <c r="AS108" s="43"/>
      <c r="AT108" s="104"/>
      <c r="AV108" s="104"/>
      <c r="AW108" s="102"/>
    </row>
    <row r="109" spans="1:49">
      <c r="A109"/>
      <c r="N109" s="101"/>
      <c r="AN109" s="102"/>
      <c r="AO109" s="103"/>
      <c r="AP109" s="104"/>
      <c r="AR109" s="104"/>
      <c r="AS109" s="43"/>
      <c r="AT109" s="104"/>
      <c r="AV109" s="104"/>
      <c r="AW109" s="102"/>
    </row>
    <row r="110" spans="1:49">
      <c r="A110"/>
      <c r="N110" s="101"/>
      <c r="AN110" s="102"/>
      <c r="AO110" s="103"/>
      <c r="AP110" s="104"/>
      <c r="AR110" s="104"/>
      <c r="AS110" s="43"/>
      <c r="AT110" s="104"/>
      <c r="AV110" s="104"/>
      <c r="AW110" s="102"/>
    </row>
    <row r="111" spans="1:49">
      <c r="A111"/>
      <c r="N111" s="101"/>
      <c r="AN111" s="102"/>
      <c r="AO111" s="103"/>
      <c r="AP111" s="104"/>
      <c r="AR111" s="104"/>
      <c r="AS111" s="43"/>
      <c r="AT111" s="104"/>
      <c r="AV111" s="104"/>
      <c r="AW111" s="102"/>
    </row>
    <row r="112" spans="1:49">
      <c r="A112"/>
      <c r="N112" s="101"/>
      <c r="AN112" s="102"/>
      <c r="AO112" s="103"/>
      <c r="AP112" s="104"/>
      <c r="AR112" s="104"/>
      <c r="AS112" s="43"/>
      <c r="AT112" s="104"/>
      <c r="AV112" s="104"/>
      <c r="AW112" s="102"/>
    </row>
    <row r="113" spans="1:49">
      <c r="A113"/>
      <c r="N113" s="101"/>
      <c r="AN113" s="102"/>
      <c r="AO113" s="103"/>
      <c r="AP113" s="104"/>
      <c r="AR113" s="104"/>
      <c r="AS113" s="43"/>
      <c r="AT113" s="104"/>
      <c r="AV113" s="104"/>
      <c r="AW113" s="102"/>
    </row>
    <row r="114" spans="1:49">
      <c r="A114"/>
      <c r="N114" s="101"/>
      <c r="AN114" s="102"/>
      <c r="AO114" s="103"/>
      <c r="AP114" s="104"/>
      <c r="AR114" s="104"/>
      <c r="AS114" s="43"/>
      <c r="AT114" s="104"/>
      <c r="AV114" s="104"/>
      <c r="AW114" s="102"/>
    </row>
    <row r="115" spans="1:49">
      <c r="A115"/>
      <c r="N115" s="101"/>
      <c r="AN115" s="102"/>
      <c r="AO115" s="103"/>
      <c r="AP115" s="104"/>
      <c r="AR115" s="104"/>
      <c r="AS115" s="43"/>
      <c r="AT115" s="104"/>
      <c r="AV115" s="104"/>
      <c r="AW115" s="102"/>
    </row>
    <row r="116" spans="1:49">
      <c r="A116"/>
      <c r="N116" s="101"/>
      <c r="AN116" s="102"/>
      <c r="AO116" s="103"/>
      <c r="AP116" s="104"/>
      <c r="AR116" s="104"/>
      <c r="AS116" s="43"/>
      <c r="AT116" s="104"/>
      <c r="AV116" s="104"/>
      <c r="AW116" s="102"/>
    </row>
    <row r="117" spans="1:49">
      <c r="A117"/>
      <c r="N117" s="101"/>
      <c r="AN117" s="102"/>
      <c r="AO117" s="103"/>
      <c r="AP117" s="104"/>
      <c r="AR117" s="104"/>
      <c r="AS117" s="43"/>
      <c r="AT117" s="104"/>
      <c r="AV117" s="104"/>
      <c r="AW117" s="102"/>
    </row>
    <row r="118" spans="1:49">
      <c r="A118"/>
      <c r="N118" s="101"/>
      <c r="AN118" s="102"/>
      <c r="AO118" s="103"/>
      <c r="AP118" s="104"/>
      <c r="AR118" s="104"/>
      <c r="AS118" s="43"/>
      <c r="AT118" s="104"/>
      <c r="AV118" s="104"/>
      <c r="AW118" s="102"/>
    </row>
    <row r="119" spans="1:49">
      <c r="A119"/>
      <c r="N119" s="101"/>
      <c r="AN119" s="102"/>
      <c r="AO119" s="103"/>
      <c r="AP119" s="104"/>
      <c r="AR119" s="104"/>
      <c r="AS119" s="43"/>
      <c r="AT119" s="104"/>
      <c r="AV119" s="104"/>
      <c r="AW119" s="102"/>
    </row>
    <row r="120" spans="1:49">
      <c r="A120"/>
      <c r="N120" s="101"/>
      <c r="AN120" s="102"/>
      <c r="AO120" s="103"/>
      <c r="AP120" s="104"/>
      <c r="AR120" s="104"/>
      <c r="AS120" s="43"/>
      <c r="AT120" s="104"/>
      <c r="AV120" s="104"/>
      <c r="AW120" s="102"/>
    </row>
    <row r="121" spans="1:49">
      <c r="N121" s="101"/>
      <c r="AN121" s="102"/>
      <c r="AO121" s="103"/>
      <c r="AP121" s="104"/>
      <c r="AR121" s="104"/>
      <c r="AS121" s="43"/>
      <c r="AT121" s="104"/>
      <c r="AV121" s="104"/>
      <c r="AW121" s="102"/>
    </row>
    <row r="122" spans="1:49">
      <c r="N122" s="101"/>
      <c r="AN122" s="102"/>
      <c r="AO122" s="103"/>
      <c r="AP122" s="104"/>
      <c r="AR122" s="104"/>
      <c r="AS122" s="43"/>
      <c r="AT122" s="104"/>
      <c r="AV122" s="104"/>
      <c r="AW122" s="102"/>
    </row>
    <row r="123" spans="1:49">
      <c r="N123" s="101"/>
      <c r="AN123" s="102"/>
      <c r="AO123" s="103"/>
      <c r="AP123" s="104"/>
      <c r="AR123" s="104"/>
      <c r="AS123" s="43"/>
      <c r="AT123" s="104"/>
      <c r="AV123" s="104"/>
      <c r="AW123" s="102"/>
    </row>
    <row r="124" spans="1:49">
      <c r="N124" s="101"/>
      <c r="AN124" s="102"/>
      <c r="AO124" s="103"/>
      <c r="AP124" s="104"/>
      <c r="AR124" s="104"/>
      <c r="AS124" s="43"/>
      <c r="AT124" s="104"/>
      <c r="AV124" s="104"/>
      <c r="AW124" s="102"/>
    </row>
    <row r="125" spans="1:49">
      <c r="N125" s="101"/>
      <c r="Y125" s="78"/>
      <c r="AN125" s="102"/>
      <c r="AO125" s="103"/>
      <c r="AP125" s="104"/>
      <c r="AR125" s="104"/>
      <c r="AS125" s="43"/>
      <c r="AT125" s="104"/>
      <c r="AV125" s="104"/>
      <c r="AW125" s="102"/>
    </row>
    <row r="126" spans="1:49">
      <c r="N126" s="101"/>
      <c r="AN126" s="102"/>
      <c r="AO126" s="103"/>
      <c r="AP126" s="104"/>
      <c r="AR126" s="104"/>
      <c r="AS126" s="43"/>
      <c r="AT126" s="104"/>
      <c r="AV126" s="104"/>
      <c r="AW126" s="102"/>
    </row>
    <row r="127" spans="1:49">
      <c r="N127" s="101"/>
      <c r="AN127" s="102"/>
      <c r="AO127" s="103"/>
      <c r="AP127" s="104"/>
      <c r="AR127" s="104"/>
      <c r="AS127" s="43"/>
      <c r="AT127" s="104"/>
      <c r="AV127" s="104"/>
      <c r="AW127" s="102"/>
    </row>
    <row r="128" spans="1:49">
      <c r="N128" s="101"/>
      <c r="AN128" s="102"/>
      <c r="AO128" s="103"/>
      <c r="AP128" s="104"/>
      <c r="AR128" s="104"/>
      <c r="AS128" s="43"/>
      <c r="AT128" s="104"/>
      <c r="AV128" s="104"/>
      <c r="AW128" s="102"/>
    </row>
    <row r="129" spans="14:49">
      <c r="N129" s="101"/>
      <c r="AN129" s="102"/>
      <c r="AO129" s="103"/>
      <c r="AP129" s="104"/>
      <c r="AR129" s="104"/>
      <c r="AS129" s="43"/>
      <c r="AT129" s="104"/>
      <c r="AV129" s="104"/>
      <c r="AW129" s="102"/>
    </row>
    <row r="130" spans="14:49">
      <c r="N130" s="101"/>
      <c r="AN130" s="102"/>
      <c r="AO130" s="103"/>
      <c r="AP130" s="104"/>
      <c r="AR130" s="104"/>
      <c r="AS130" s="43"/>
      <c r="AT130" s="104"/>
      <c r="AV130" s="104"/>
      <c r="AW130" s="102"/>
    </row>
    <row r="131" spans="14:49">
      <c r="N131" s="101"/>
      <c r="AN131" s="102"/>
      <c r="AO131" s="103"/>
      <c r="AP131" s="104"/>
      <c r="AR131" s="104"/>
      <c r="AS131" s="43"/>
      <c r="AT131" s="104"/>
      <c r="AV131" s="104"/>
      <c r="AW131" s="102"/>
    </row>
    <row r="132" spans="14:49">
      <c r="N132" s="101"/>
      <c r="AN132" s="102"/>
      <c r="AO132" s="103"/>
      <c r="AP132" s="104"/>
      <c r="AR132" s="104"/>
      <c r="AS132" s="43"/>
      <c r="AT132" s="104"/>
      <c r="AV132" s="104"/>
      <c r="AW132" s="102"/>
    </row>
    <row r="133" spans="14:49">
      <c r="N133" s="101"/>
      <c r="AN133" s="102"/>
      <c r="AO133" s="103"/>
      <c r="AP133" s="104"/>
      <c r="AR133" s="104"/>
      <c r="AS133" s="43"/>
      <c r="AT133" s="104"/>
      <c r="AV133" s="104"/>
      <c r="AW133" s="102"/>
    </row>
    <row r="134" spans="14:49">
      <c r="N134" s="101"/>
      <c r="AN134" s="102"/>
      <c r="AO134" s="103"/>
      <c r="AP134" s="104"/>
      <c r="AR134" s="104"/>
      <c r="AS134" s="43"/>
      <c r="AT134" s="104"/>
      <c r="AV134" s="104"/>
      <c r="AW134" s="102"/>
    </row>
    <row r="135" spans="14:49">
      <c r="N135" s="101"/>
      <c r="AN135" s="102"/>
      <c r="AO135" s="103"/>
      <c r="AP135" s="104"/>
      <c r="AR135" s="104"/>
      <c r="AS135" s="43"/>
      <c r="AT135" s="104"/>
      <c r="AV135" s="104"/>
      <c r="AW135" s="102"/>
    </row>
    <row r="136" spans="14:49">
      <c r="N136" s="101"/>
      <c r="AN136" s="102"/>
      <c r="AO136" s="103"/>
      <c r="AP136" s="104"/>
      <c r="AR136" s="104"/>
      <c r="AS136" s="43"/>
      <c r="AT136" s="104"/>
      <c r="AV136" s="104"/>
      <c r="AW136" s="102"/>
    </row>
    <row r="137" spans="14:49">
      <c r="N137" s="101"/>
      <c r="AN137" s="102"/>
      <c r="AO137" s="103"/>
      <c r="AP137" s="104"/>
      <c r="AR137" s="104"/>
      <c r="AS137" s="43"/>
      <c r="AT137" s="104"/>
      <c r="AV137" s="104"/>
      <c r="AW137" s="102"/>
    </row>
    <row r="138" spans="14:49">
      <c r="N138" s="101"/>
      <c r="AN138" s="102"/>
      <c r="AO138" s="103"/>
      <c r="AP138" s="104"/>
      <c r="AR138" s="104"/>
      <c r="AS138" s="43"/>
      <c r="AT138" s="104"/>
      <c r="AV138" s="104"/>
      <c r="AW138" s="102"/>
    </row>
    <row r="139" spans="14:49">
      <c r="N139" s="101"/>
      <c r="AN139" s="102"/>
      <c r="AO139" s="103"/>
      <c r="AP139" s="104"/>
      <c r="AR139" s="104"/>
      <c r="AS139" s="43"/>
      <c r="AT139" s="104"/>
      <c r="AV139" s="104"/>
      <c r="AW139" s="102"/>
    </row>
    <row r="140" spans="14:49">
      <c r="N140" s="101"/>
      <c r="AN140" s="102"/>
      <c r="AO140" s="103"/>
      <c r="AP140" s="104"/>
      <c r="AR140" s="104"/>
      <c r="AS140" s="43"/>
      <c r="AT140" s="104"/>
      <c r="AV140" s="104"/>
      <c r="AW140" s="102"/>
    </row>
    <row r="141" spans="14:49">
      <c r="N141" s="101"/>
      <c r="AN141" s="102"/>
      <c r="AO141" s="103"/>
      <c r="AP141" s="104"/>
      <c r="AR141" s="104"/>
      <c r="AS141" s="43"/>
      <c r="AT141" s="104"/>
      <c r="AV141" s="104"/>
      <c r="AW141" s="102"/>
    </row>
    <row r="142" spans="14:49">
      <c r="N142" s="101"/>
      <c r="AN142" s="102"/>
      <c r="AO142" s="103"/>
      <c r="AP142" s="104"/>
      <c r="AR142" s="104"/>
      <c r="AS142" s="43"/>
      <c r="AT142" s="104"/>
      <c r="AV142" s="104"/>
      <c r="AW142" s="102"/>
    </row>
    <row r="143" spans="14:49">
      <c r="N143" s="101"/>
      <c r="AN143" s="102"/>
      <c r="AO143" s="103"/>
      <c r="AP143" s="104"/>
      <c r="AR143" s="104"/>
      <c r="AS143" s="43"/>
      <c r="AT143" s="104"/>
      <c r="AV143" s="104"/>
      <c r="AW143" s="102"/>
    </row>
    <row r="144" spans="14:49">
      <c r="N144" s="101"/>
      <c r="AN144" s="102"/>
      <c r="AO144" s="103"/>
      <c r="AP144" s="104"/>
      <c r="AR144" s="104"/>
      <c r="AS144" s="43"/>
      <c r="AT144" s="104"/>
      <c r="AV144" s="104"/>
      <c r="AW144" s="102"/>
    </row>
    <row r="145" spans="14:49">
      <c r="N145" s="101"/>
      <c r="AN145" s="102"/>
      <c r="AO145" s="103"/>
      <c r="AP145" s="104"/>
      <c r="AR145" s="104"/>
      <c r="AS145" s="43"/>
      <c r="AT145" s="104"/>
      <c r="AV145" s="104"/>
      <c r="AW145" s="102"/>
    </row>
    <row r="146" spans="14:49">
      <c r="N146" s="101"/>
      <c r="AN146" s="102"/>
      <c r="AO146" s="103"/>
      <c r="AP146" s="104"/>
      <c r="AR146" s="104"/>
      <c r="AS146" s="43"/>
      <c r="AT146" s="104"/>
      <c r="AV146" s="104"/>
      <c r="AW146" s="102"/>
    </row>
    <row r="147" spans="14:49">
      <c r="N147" s="101"/>
      <c r="AN147" s="102"/>
      <c r="AO147" s="103"/>
      <c r="AP147" s="104"/>
      <c r="AR147" s="104"/>
      <c r="AS147" s="43"/>
      <c r="AT147" s="104"/>
      <c r="AV147" s="104"/>
      <c r="AW147" s="102"/>
    </row>
    <row r="148" spans="14:49">
      <c r="N148" s="101"/>
      <c r="AN148" s="102"/>
      <c r="AO148" s="103"/>
      <c r="AP148" s="104"/>
      <c r="AR148" s="104"/>
      <c r="AS148" s="43"/>
      <c r="AT148" s="104"/>
      <c r="AV148" s="104"/>
      <c r="AW148" s="102"/>
    </row>
    <row r="149" spans="14:49">
      <c r="N149" s="101"/>
      <c r="AN149" s="102"/>
      <c r="AO149" s="103"/>
      <c r="AP149" s="104"/>
      <c r="AR149" s="104"/>
      <c r="AS149" s="43"/>
      <c r="AT149" s="104"/>
      <c r="AV149" s="104"/>
      <c r="AW149" s="102"/>
    </row>
    <row r="150" spans="14:49">
      <c r="N150" s="101"/>
      <c r="AN150" s="102"/>
      <c r="AO150" s="103"/>
      <c r="AP150" s="104"/>
      <c r="AR150" s="104"/>
      <c r="AS150" s="43"/>
      <c r="AT150" s="104"/>
      <c r="AV150" s="104"/>
      <c r="AW150" s="102"/>
    </row>
    <row r="151" spans="14:49">
      <c r="N151" s="101"/>
      <c r="AN151" s="102"/>
      <c r="AO151" s="103"/>
      <c r="AP151" s="104"/>
      <c r="AR151" s="104"/>
      <c r="AS151" s="43"/>
      <c r="AT151" s="104"/>
      <c r="AV151" s="104"/>
      <c r="AW151" s="102"/>
    </row>
    <row r="152" spans="14:49">
      <c r="N152" s="101"/>
      <c r="AN152" s="102"/>
      <c r="AO152" s="103"/>
      <c r="AP152" s="104"/>
      <c r="AR152" s="104"/>
      <c r="AS152" s="43"/>
      <c r="AT152" s="104"/>
      <c r="AV152" s="104"/>
      <c r="AW152" s="102"/>
    </row>
    <row r="153" spans="14:49">
      <c r="N153" s="101"/>
      <c r="AN153" s="102"/>
      <c r="AO153" s="103"/>
      <c r="AP153" s="104"/>
      <c r="AR153" s="104"/>
      <c r="AS153" s="43"/>
      <c r="AT153" s="104"/>
      <c r="AV153" s="104"/>
      <c r="AW153" s="102"/>
    </row>
    <row r="154" spans="14:49">
      <c r="N154" s="101"/>
      <c r="AN154" s="102"/>
      <c r="AO154" s="103"/>
      <c r="AP154" s="104"/>
      <c r="AR154" s="104"/>
      <c r="AS154" s="43"/>
      <c r="AT154" s="104"/>
      <c r="AV154" s="104"/>
      <c r="AW154" s="102"/>
    </row>
    <row r="155" spans="14:49">
      <c r="N155" s="101"/>
      <c r="AN155" s="102"/>
      <c r="AO155" s="103"/>
      <c r="AP155" s="104"/>
      <c r="AR155" s="104"/>
      <c r="AS155" s="43"/>
      <c r="AT155" s="104"/>
      <c r="AV155" s="104"/>
      <c r="AW155" s="102"/>
    </row>
    <row r="156" spans="14:49">
      <c r="N156" s="101"/>
      <c r="AN156" s="102"/>
      <c r="AO156" s="103"/>
      <c r="AP156" s="104"/>
      <c r="AR156" s="104"/>
      <c r="AS156" s="43"/>
      <c r="AT156" s="104"/>
      <c r="AV156" s="104"/>
      <c r="AW156" s="102"/>
    </row>
    <row r="157" spans="14:49">
      <c r="N157" s="101"/>
      <c r="AN157" s="102"/>
      <c r="AO157" s="103"/>
      <c r="AP157" s="104"/>
      <c r="AR157" s="104"/>
      <c r="AS157" s="43"/>
      <c r="AT157" s="104"/>
      <c r="AV157" s="104"/>
      <c r="AW157" s="102"/>
    </row>
    <row r="158" spans="14:49">
      <c r="N158" s="101"/>
      <c r="AN158" s="102"/>
      <c r="AO158" s="103"/>
      <c r="AP158" s="104"/>
      <c r="AR158" s="104"/>
      <c r="AS158" s="43"/>
      <c r="AT158" s="104"/>
      <c r="AV158" s="104"/>
      <c r="AW158" s="102"/>
    </row>
    <row r="159" spans="14:49">
      <c r="N159" s="101"/>
      <c r="AN159" s="102"/>
      <c r="AO159" s="103"/>
      <c r="AP159" s="104"/>
      <c r="AR159" s="104"/>
      <c r="AS159" s="43"/>
      <c r="AT159" s="104"/>
      <c r="AV159" s="104"/>
      <c r="AW159" s="102"/>
    </row>
    <row r="160" spans="14:49">
      <c r="N160" s="101"/>
      <c r="AN160" s="102"/>
      <c r="AO160" s="103"/>
      <c r="AP160" s="104"/>
      <c r="AR160" s="104"/>
      <c r="AS160" s="43"/>
      <c r="AT160" s="104"/>
      <c r="AV160" s="104"/>
      <c r="AW160" s="102"/>
    </row>
    <row r="161" spans="14:49">
      <c r="N161" s="101"/>
      <c r="AN161" s="102"/>
      <c r="AO161" s="103"/>
      <c r="AP161" s="104"/>
      <c r="AR161" s="104"/>
      <c r="AS161" s="43"/>
      <c r="AT161" s="104"/>
      <c r="AV161" s="104"/>
      <c r="AW161" s="102"/>
    </row>
    <row r="162" spans="14:49">
      <c r="N162" s="101"/>
      <c r="AN162" s="102"/>
      <c r="AO162" s="103"/>
      <c r="AP162" s="104"/>
      <c r="AR162" s="104"/>
      <c r="AS162" s="43"/>
      <c r="AT162" s="104"/>
      <c r="AV162" s="104"/>
      <c r="AW162" s="102"/>
    </row>
    <row r="163" spans="14:49">
      <c r="N163" s="101"/>
      <c r="AN163" s="102"/>
      <c r="AO163" s="103"/>
      <c r="AP163" s="104"/>
      <c r="AR163" s="104"/>
      <c r="AS163" s="43"/>
      <c r="AT163" s="104"/>
      <c r="AV163" s="104"/>
      <c r="AW163" s="102"/>
    </row>
    <row r="164" spans="14:49">
      <c r="N164" s="101"/>
      <c r="AN164" s="102"/>
      <c r="AO164" s="103"/>
      <c r="AP164" s="104"/>
      <c r="AR164" s="104"/>
      <c r="AS164" s="43"/>
      <c r="AT164" s="104"/>
      <c r="AV164" s="104"/>
      <c r="AW164" s="102"/>
    </row>
    <row r="165" spans="14:49">
      <c r="N165" s="101"/>
      <c r="AN165" s="102"/>
      <c r="AO165" s="103"/>
      <c r="AP165" s="104"/>
      <c r="AR165" s="104"/>
      <c r="AS165" s="43"/>
      <c r="AT165" s="104"/>
      <c r="AV165" s="104"/>
      <c r="AW165" s="102"/>
    </row>
    <row r="166" spans="14:49">
      <c r="N166" s="101"/>
      <c r="Y166" s="78"/>
      <c r="AN166" s="102"/>
      <c r="AO166" s="103"/>
      <c r="AP166" s="104"/>
      <c r="AR166" s="104"/>
      <c r="AS166" s="43"/>
      <c r="AT166" s="104"/>
      <c r="AV166" s="104"/>
      <c r="AW166" s="102"/>
    </row>
    <row r="167" spans="14:49">
      <c r="N167" s="101"/>
      <c r="AN167" s="102"/>
      <c r="AO167" s="103"/>
      <c r="AP167" s="104"/>
      <c r="AR167" s="104"/>
      <c r="AS167" s="43"/>
      <c r="AT167" s="104"/>
      <c r="AV167" s="104"/>
      <c r="AW167" s="102"/>
    </row>
    <row r="168" spans="14:49">
      <c r="N168" s="101"/>
      <c r="AN168" s="102"/>
      <c r="AO168" s="103"/>
      <c r="AP168" s="104"/>
      <c r="AR168" s="104"/>
      <c r="AS168" s="43"/>
      <c r="AT168" s="104"/>
      <c r="AV168" s="104"/>
      <c r="AW168" s="102"/>
    </row>
    <row r="169" spans="14:49">
      <c r="N169" s="101"/>
      <c r="AN169" s="102"/>
      <c r="AO169" s="103"/>
      <c r="AP169" s="104"/>
      <c r="AR169" s="104"/>
      <c r="AS169" s="43"/>
      <c r="AT169" s="104"/>
      <c r="AV169" s="104"/>
      <c r="AW169" s="102"/>
    </row>
    <row r="170" spans="14:49">
      <c r="N170" s="101"/>
      <c r="AN170" s="102"/>
      <c r="AO170" s="103"/>
      <c r="AP170" s="104"/>
      <c r="AR170" s="104"/>
      <c r="AS170" s="43"/>
      <c r="AT170" s="104"/>
      <c r="AV170" s="104"/>
      <c r="AW170" s="102"/>
    </row>
    <row r="171" spans="14:49">
      <c r="N171" s="101"/>
      <c r="AN171" s="102"/>
      <c r="AO171" s="103"/>
      <c r="AP171" s="104"/>
      <c r="AR171" s="104"/>
      <c r="AS171" s="43"/>
      <c r="AT171" s="104"/>
      <c r="AV171" s="104"/>
      <c r="AW171" s="102"/>
    </row>
    <row r="172" spans="14:49">
      <c r="N172" s="101"/>
      <c r="AN172" s="102"/>
      <c r="AO172" s="103"/>
      <c r="AP172" s="104"/>
      <c r="AR172" s="104"/>
      <c r="AS172" s="43"/>
      <c r="AT172" s="104"/>
      <c r="AV172" s="104"/>
      <c r="AW172" s="102"/>
    </row>
    <row r="173" spans="14:49">
      <c r="N173" s="101"/>
      <c r="AN173" s="102"/>
      <c r="AO173" s="103"/>
      <c r="AP173" s="104"/>
      <c r="AR173" s="104"/>
      <c r="AS173" s="43"/>
      <c r="AT173" s="104"/>
      <c r="AV173" s="104"/>
      <c r="AW173" s="102"/>
    </row>
    <row r="174" spans="14:49">
      <c r="N174" s="101"/>
      <c r="AN174" s="102"/>
      <c r="AO174" s="103"/>
      <c r="AP174" s="104"/>
      <c r="AR174" s="104"/>
      <c r="AS174" s="43"/>
      <c r="AT174" s="104"/>
      <c r="AV174" s="104"/>
      <c r="AW174" s="102"/>
    </row>
    <row r="175" spans="14:49">
      <c r="N175" s="101"/>
      <c r="AN175" s="102"/>
      <c r="AO175" s="103"/>
      <c r="AP175" s="104"/>
      <c r="AR175" s="104"/>
      <c r="AS175" s="43"/>
      <c r="AT175" s="104"/>
      <c r="AV175" s="104"/>
      <c r="AW175" s="102"/>
    </row>
    <row r="176" spans="14:49">
      <c r="N176" s="101"/>
      <c r="AN176" s="102"/>
      <c r="AO176" s="103"/>
      <c r="AP176" s="104"/>
      <c r="AR176" s="104"/>
      <c r="AS176" s="43"/>
      <c r="AT176" s="104"/>
      <c r="AV176" s="104"/>
      <c r="AW176" s="102"/>
    </row>
    <row r="177" spans="14:49">
      <c r="N177" s="101"/>
      <c r="AN177" s="102"/>
      <c r="AO177" s="103"/>
      <c r="AP177" s="104"/>
      <c r="AR177" s="104"/>
      <c r="AS177" s="43"/>
      <c r="AT177" s="104"/>
      <c r="AV177" s="104"/>
      <c r="AW177" s="102"/>
    </row>
    <row r="178" spans="14:49">
      <c r="N178" s="101"/>
      <c r="AN178" s="102"/>
      <c r="AO178" s="103"/>
      <c r="AP178" s="104"/>
      <c r="AR178" s="104"/>
      <c r="AS178" s="43"/>
      <c r="AT178" s="104"/>
      <c r="AV178" s="104"/>
      <c r="AW178" s="102"/>
    </row>
    <row r="179" spans="14:49">
      <c r="N179" s="101"/>
      <c r="AN179" s="102"/>
      <c r="AO179" s="103"/>
      <c r="AP179" s="104"/>
      <c r="AR179" s="104"/>
      <c r="AS179" s="43"/>
      <c r="AT179" s="104"/>
      <c r="AV179" s="104"/>
      <c r="AW179" s="102"/>
    </row>
    <row r="180" spans="14:49">
      <c r="N180" s="101"/>
      <c r="AN180" s="102"/>
      <c r="AO180" s="103"/>
      <c r="AP180" s="104"/>
      <c r="AR180" s="104"/>
      <c r="AS180" s="43"/>
      <c r="AT180" s="104"/>
      <c r="AV180" s="104"/>
      <c r="AW180" s="102"/>
    </row>
    <row r="181" spans="14:49">
      <c r="N181" s="101"/>
      <c r="AN181" s="102"/>
      <c r="AO181" s="103"/>
      <c r="AP181" s="104"/>
      <c r="AR181" s="104"/>
      <c r="AS181" s="43"/>
      <c r="AT181" s="104"/>
      <c r="AV181" s="104"/>
      <c r="AW181" s="102"/>
    </row>
    <row r="182" spans="14:49">
      <c r="N182" s="101"/>
      <c r="AN182" s="102"/>
      <c r="AO182" s="103"/>
      <c r="AP182" s="104"/>
      <c r="AR182" s="104"/>
      <c r="AS182" s="43"/>
      <c r="AT182" s="104"/>
      <c r="AV182" s="104"/>
      <c r="AW182" s="102"/>
    </row>
    <row r="183" spans="14:49">
      <c r="N183" s="101"/>
      <c r="AN183" s="102"/>
      <c r="AO183" s="103"/>
      <c r="AP183" s="104"/>
      <c r="AR183" s="104"/>
      <c r="AS183" s="43"/>
      <c r="AT183" s="104"/>
      <c r="AV183" s="104"/>
      <c r="AW183" s="102"/>
    </row>
    <row r="184" spans="14:49">
      <c r="N184" s="101"/>
      <c r="AN184" s="102"/>
      <c r="AO184" s="103"/>
      <c r="AP184" s="104"/>
      <c r="AR184" s="104"/>
      <c r="AS184" s="43"/>
      <c r="AT184" s="104"/>
      <c r="AV184" s="104"/>
      <c r="AW184" s="102"/>
    </row>
    <row r="185" spans="14:49">
      <c r="N185" s="101"/>
      <c r="AN185" s="102"/>
      <c r="AO185" s="103"/>
      <c r="AP185" s="104"/>
      <c r="AR185" s="104"/>
      <c r="AS185" s="43"/>
      <c r="AT185" s="104"/>
      <c r="AV185" s="104"/>
      <c r="AW185" s="102"/>
    </row>
    <row r="186" spans="14:49">
      <c r="N186" s="101"/>
      <c r="AN186" s="102"/>
      <c r="AO186" s="103"/>
      <c r="AP186" s="104"/>
      <c r="AR186" s="104"/>
      <c r="AS186" s="43"/>
      <c r="AT186" s="104"/>
      <c r="AV186" s="104"/>
      <c r="AW186" s="102"/>
    </row>
    <row r="187" spans="14:49">
      <c r="N187" s="101"/>
      <c r="AN187" s="102"/>
      <c r="AO187" s="103"/>
      <c r="AP187" s="104"/>
      <c r="AR187" s="104"/>
      <c r="AS187" s="43"/>
      <c r="AT187" s="104"/>
      <c r="AV187" s="104"/>
      <c r="AW187" s="102"/>
    </row>
    <row r="188" spans="14:49">
      <c r="N188" s="101"/>
      <c r="AN188" s="102"/>
      <c r="AO188" s="103"/>
      <c r="AP188" s="104"/>
      <c r="AR188" s="104"/>
      <c r="AS188" s="43"/>
      <c r="AT188" s="104"/>
      <c r="AV188" s="104"/>
      <c r="AW188" s="102"/>
    </row>
    <row r="189" spans="14:49">
      <c r="N189" s="101"/>
      <c r="AN189" s="102"/>
      <c r="AO189" s="103"/>
      <c r="AP189" s="104"/>
      <c r="AR189" s="104"/>
      <c r="AS189" s="43"/>
      <c r="AT189" s="104"/>
      <c r="AV189" s="104"/>
      <c r="AW189" s="102"/>
    </row>
    <row r="190" spans="14:49">
      <c r="N190" s="101"/>
      <c r="AN190" s="102"/>
      <c r="AO190" s="103"/>
      <c r="AP190" s="104"/>
      <c r="AR190" s="104"/>
      <c r="AS190" s="43"/>
      <c r="AT190" s="104"/>
      <c r="AV190" s="104"/>
      <c r="AW190" s="102"/>
    </row>
    <row r="191" spans="14:49">
      <c r="N191" s="101"/>
      <c r="AN191" s="102"/>
      <c r="AO191" s="103"/>
      <c r="AP191" s="104"/>
      <c r="AR191" s="104"/>
      <c r="AS191" s="43"/>
      <c r="AT191" s="104"/>
      <c r="AV191" s="104"/>
      <c r="AW191" s="102"/>
    </row>
    <row r="192" spans="14:49">
      <c r="N192" s="101"/>
      <c r="AN192" s="102"/>
      <c r="AO192" s="103"/>
      <c r="AP192" s="104"/>
      <c r="AR192" s="104"/>
      <c r="AS192" s="43"/>
      <c r="AT192" s="104"/>
      <c r="AV192" s="104"/>
      <c r="AW192" s="102"/>
    </row>
    <row r="193" spans="14:49">
      <c r="N193" s="101"/>
      <c r="AN193" s="102"/>
      <c r="AO193" s="103"/>
      <c r="AP193" s="104"/>
      <c r="AR193" s="104"/>
      <c r="AS193" s="43"/>
      <c r="AT193" s="104"/>
      <c r="AV193" s="104"/>
      <c r="AW193" s="102"/>
    </row>
    <row r="194" spans="14:49">
      <c r="N194" s="101"/>
      <c r="AN194" s="102"/>
      <c r="AO194" s="103"/>
      <c r="AP194" s="104"/>
      <c r="AR194" s="104"/>
      <c r="AS194" s="43"/>
      <c r="AT194" s="104"/>
      <c r="AV194" s="104"/>
      <c r="AW194" s="102"/>
    </row>
    <row r="195" spans="14:49">
      <c r="N195" s="101"/>
      <c r="AN195" s="102"/>
      <c r="AO195" s="103"/>
      <c r="AP195" s="104"/>
      <c r="AR195" s="104"/>
      <c r="AS195" s="43"/>
      <c r="AT195" s="104"/>
      <c r="AV195" s="104"/>
      <c r="AW195" s="102"/>
    </row>
    <row r="196" spans="14:49">
      <c r="N196" s="101"/>
      <c r="AN196" s="102"/>
      <c r="AO196" s="103"/>
      <c r="AP196" s="104"/>
      <c r="AR196" s="104"/>
      <c r="AS196" s="43"/>
      <c r="AT196" s="104"/>
      <c r="AV196" s="104"/>
      <c r="AW196" s="102"/>
    </row>
    <row r="197" spans="14:49">
      <c r="N197" s="101"/>
      <c r="AN197" s="102"/>
      <c r="AO197" s="103"/>
      <c r="AP197" s="104"/>
      <c r="AR197" s="104"/>
      <c r="AS197" s="43"/>
      <c r="AT197" s="104"/>
      <c r="AV197" s="104"/>
      <c r="AW197" s="102"/>
    </row>
    <row r="198" spans="14:49">
      <c r="N198" s="101"/>
      <c r="AN198" s="102"/>
      <c r="AO198" s="103"/>
      <c r="AP198" s="104"/>
      <c r="AR198" s="104"/>
      <c r="AS198" s="43"/>
      <c r="AT198" s="104"/>
      <c r="AV198" s="104"/>
      <c r="AW198" s="102"/>
    </row>
    <row r="199" spans="14:49">
      <c r="N199" s="101"/>
      <c r="AN199" s="102"/>
      <c r="AO199" s="103"/>
      <c r="AP199" s="104"/>
      <c r="AR199" s="104"/>
      <c r="AS199" s="43"/>
      <c r="AT199" s="104"/>
      <c r="AV199" s="104"/>
      <c r="AW199" s="102"/>
    </row>
    <row r="200" spans="14:49">
      <c r="N200" s="101"/>
      <c r="AN200" s="102"/>
      <c r="AO200" s="103"/>
      <c r="AP200" s="104"/>
      <c r="AR200" s="104"/>
      <c r="AS200" s="43"/>
      <c r="AT200" s="104"/>
      <c r="AV200" s="104"/>
      <c r="AW200" s="102"/>
    </row>
    <row r="201" spans="14:49">
      <c r="N201" s="101"/>
      <c r="AN201" s="102"/>
      <c r="AO201" s="103"/>
      <c r="AP201" s="104"/>
      <c r="AR201" s="104"/>
      <c r="AS201" s="43"/>
      <c r="AT201" s="104"/>
      <c r="AV201" s="104"/>
      <c r="AW201" s="102"/>
    </row>
    <row r="202" spans="14:49">
      <c r="N202" s="101"/>
      <c r="AN202" s="102"/>
      <c r="AO202" s="103"/>
      <c r="AP202" s="104"/>
      <c r="AR202" s="104"/>
      <c r="AS202" s="43"/>
      <c r="AT202" s="104"/>
      <c r="AV202" s="104"/>
      <c r="AW202" s="102"/>
    </row>
    <row r="203" spans="14:49">
      <c r="N203" s="101"/>
      <c r="AN203" s="102"/>
      <c r="AO203" s="103"/>
      <c r="AP203" s="104"/>
      <c r="AR203" s="104"/>
      <c r="AS203" s="43"/>
      <c r="AT203" s="104"/>
      <c r="AV203" s="104"/>
      <c r="AW203" s="102"/>
    </row>
    <row r="204" spans="14:49">
      <c r="N204" s="101"/>
      <c r="AN204" s="102"/>
      <c r="AO204" s="103"/>
      <c r="AP204" s="104"/>
      <c r="AR204" s="104"/>
      <c r="AS204" s="43"/>
      <c r="AT204" s="104"/>
      <c r="AV204" s="104"/>
      <c r="AW204" s="102"/>
    </row>
    <row r="205" spans="14:49">
      <c r="N205" s="101"/>
      <c r="AN205" s="102"/>
      <c r="AO205" s="103"/>
      <c r="AP205" s="104"/>
      <c r="AR205" s="104"/>
      <c r="AS205" s="43"/>
      <c r="AT205" s="104"/>
      <c r="AV205" s="104"/>
      <c r="AW205" s="102"/>
    </row>
    <row r="206" spans="14:49">
      <c r="N206" s="101"/>
      <c r="AN206" s="102"/>
      <c r="AO206" s="103"/>
      <c r="AP206" s="104"/>
      <c r="AR206" s="104"/>
      <c r="AS206" s="43"/>
      <c r="AT206" s="104"/>
      <c r="AV206" s="104"/>
      <c r="AW206" s="102"/>
    </row>
    <row r="207" spans="14:49">
      <c r="N207" s="101"/>
      <c r="Y207" s="78"/>
      <c r="AN207" s="102"/>
      <c r="AO207" s="103"/>
      <c r="AP207" s="104"/>
      <c r="AR207" s="104"/>
      <c r="AS207" s="43"/>
      <c r="AT207" s="104"/>
      <c r="AV207" s="104"/>
      <c r="AW207" s="102"/>
    </row>
    <row r="208" spans="14:49">
      <c r="N208" s="101"/>
      <c r="AN208" s="102"/>
      <c r="AO208" s="103"/>
      <c r="AP208" s="104"/>
      <c r="AR208" s="104"/>
      <c r="AS208" s="43"/>
      <c r="AT208" s="104"/>
      <c r="AV208" s="104"/>
      <c r="AW208" s="102"/>
    </row>
    <row r="209" spans="14:49">
      <c r="N209" s="101"/>
      <c r="AN209" s="102"/>
      <c r="AO209" s="103"/>
      <c r="AP209" s="104"/>
      <c r="AR209" s="104"/>
      <c r="AS209" s="43"/>
      <c r="AT209" s="104"/>
      <c r="AV209" s="104"/>
      <c r="AW209" s="102"/>
    </row>
    <row r="210" spans="14:49">
      <c r="N210" s="101"/>
      <c r="AN210" s="102"/>
      <c r="AO210" s="103"/>
      <c r="AP210" s="104"/>
      <c r="AR210" s="104"/>
      <c r="AS210" s="43"/>
      <c r="AT210" s="104"/>
      <c r="AV210" s="104"/>
      <c r="AW210" s="102"/>
    </row>
    <row r="211" spans="14:49">
      <c r="N211" s="101"/>
      <c r="AN211" s="102"/>
      <c r="AO211" s="103"/>
      <c r="AP211" s="104"/>
      <c r="AR211" s="104"/>
      <c r="AS211" s="43"/>
      <c r="AT211" s="104"/>
      <c r="AV211" s="104"/>
      <c r="AW211" s="102"/>
    </row>
    <row r="212" spans="14:49">
      <c r="N212" s="101"/>
      <c r="AN212" s="102"/>
      <c r="AO212" s="103"/>
      <c r="AP212" s="104"/>
      <c r="AR212" s="104"/>
      <c r="AS212" s="43"/>
      <c r="AT212" s="104"/>
      <c r="AV212" s="104"/>
      <c r="AW212" s="102"/>
    </row>
    <row r="213" spans="14:49">
      <c r="N213" s="101"/>
      <c r="AN213" s="102"/>
      <c r="AO213" s="103"/>
      <c r="AP213" s="104"/>
      <c r="AR213" s="104"/>
      <c r="AS213" s="43"/>
      <c r="AT213" s="104"/>
      <c r="AV213" s="104"/>
      <c r="AW213" s="102"/>
    </row>
    <row r="214" spans="14:49">
      <c r="N214" s="101"/>
      <c r="AN214" s="102"/>
      <c r="AO214" s="103"/>
      <c r="AP214" s="104"/>
      <c r="AR214" s="104"/>
      <c r="AS214" s="43"/>
      <c r="AT214" s="104"/>
      <c r="AV214" s="104"/>
      <c r="AW214" s="102"/>
    </row>
    <row r="215" spans="14:49">
      <c r="N215" s="101"/>
      <c r="AN215" s="102"/>
      <c r="AO215" s="103"/>
      <c r="AP215" s="104"/>
      <c r="AR215" s="104"/>
      <c r="AS215" s="43"/>
      <c r="AT215" s="104"/>
      <c r="AV215" s="104"/>
      <c r="AW215" s="102"/>
    </row>
    <row r="216" spans="14:49">
      <c r="N216" s="101"/>
      <c r="AN216" s="102"/>
      <c r="AO216" s="103"/>
      <c r="AP216" s="104"/>
      <c r="AR216" s="104"/>
      <c r="AS216" s="43"/>
      <c r="AT216" s="104"/>
      <c r="AV216" s="104"/>
      <c r="AW216" s="102"/>
    </row>
    <row r="217" spans="14:49">
      <c r="N217" s="101"/>
      <c r="AN217" s="102"/>
      <c r="AO217" s="103"/>
      <c r="AP217" s="104"/>
      <c r="AR217" s="104"/>
      <c r="AS217" s="43"/>
      <c r="AT217" s="104"/>
      <c r="AV217" s="104"/>
      <c r="AW217" s="102"/>
    </row>
    <row r="218" spans="14:49">
      <c r="N218" s="101"/>
      <c r="AN218" s="102"/>
      <c r="AO218" s="103"/>
      <c r="AP218" s="104"/>
      <c r="AR218" s="104"/>
      <c r="AS218" s="43"/>
      <c r="AT218" s="104"/>
      <c r="AV218" s="104"/>
      <c r="AW218" s="102"/>
    </row>
    <row r="219" spans="14:49">
      <c r="N219" s="101"/>
      <c r="AN219" s="102"/>
      <c r="AO219" s="103"/>
      <c r="AP219" s="104"/>
      <c r="AR219" s="104"/>
      <c r="AS219" s="43"/>
      <c r="AT219" s="104"/>
      <c r="AV219" s="104"/>
      <c r="AW219" s="102"/>
    </row>
    <row r="220" spans="14:49">
      <c r="N220" s="101"/>
      <c r="AN220" s="102"/>
      <c r="AO220" s="103"/>
      <c r="AP220" s="104"/>
      <c r="AR220" s="104"/>
      <c r="AS220" s="43"/>
      <c r="AT220" s="104"/>
      <c r="AV220" s="104"/>
      <c r="AW220" s="102"/>
    </row>
    <row r="221" spans="14:49">
      <c r="N221" s="101"/>
      <c r="AN221" s="102"/>
      <c r="AO221" s="103"/>
      <c r="AP221" s="104"/>
      <c r="AR221" s="104"/>
      <c r="AS221" s="43"/>
      <c r="AT221" s="104"/>
      <c r="AV221" s="104"/>
      <c r="AW221" s="102"/>
    </row>
    <row r="222" spans="14:49">
      <c r="N222" s="101"/>
      <c r="AN222" s="102"/>
      <c r="AO222" s="103"/>
      <c r="AP222" s="104"/>
      <c r="AR222" s="104"/>
      <c r="AS222" s="43"/>
      <c r="AT222" s="104"/>
      <c r="AV222" s="104"/>
      <c r="AW222" s="102"/>
    </row>
    <row r="223" spans="14:49">
      <c r="N223" s="101"/>
      <c r="AN223" s="102"/>
      <c r="AO223" s="103"/>
      <c r="AP223" s="104"/>
      <c r="AR223" s="104"/>
      <c r="AS223" s="43"/>
      <c r="AT223" s="104"/>
      <c r="AV223" s="104"/>
      <c r="AW223" s="102"/>
    </row>
    <row r="224" spans="14:49">
      <c r="N224" s="101"/>
      <c r="AN224" s="102"/>
      <c r="AO224" s="103"/>
      <c r="AP224" s="104"/>
      <c r="AR224" s="104"/>
      <c r="AS224" s="43"/>
      <c r="AT224" s="104"/>
      <c r="AV224" s="104"/>
      <c r="AW224" s="102"/>
    </row>
    <row r="225" spans="14:49">
      <c r="N225" s="101"/>
      <c r="AN225" s="102"/>
      <c r="AO225" s="103"/>
      <c r="AP225" s="104"/>
      <c r="AR225" s="104"/>
      <c r="AS225" s="43"/>
      <c r="AT225" s="104"/>
      <c r="AV225" s="104"/>
      <c r="AW225" s="102"/>
    </row>
    <row r="226" spans="14:49">
      <c r="N226" s="101"/>
      <c r="AN226" s="102"/>
      <c r="AO226" s="103"/>
      <c r="AP226" s="104"/>
      <c r="AR226" s="104"/>
      <c r="AS226" s="43"/>
      <c r="AT226" s="104"/>
      <c r="AV226" s="104"/>
      <c r="AW226" s="102"/>
    </row>
    <row r="227" spans="14:49">
      <c r="N227" s="101"/>
      <c r="AN227" s="102"/>
      <c r="AO227" s="103"/>
      <c r="AP227" s="104"/>
      <c r="AR227" s="104"/>
      <c r="AS227" s="43"/>
      <c r="AT227" s="104"/>
      <c r="AV227" s="104"/>
      <c r="AW227" s="102"/>
    </row>
    <row r="228" spans="14:49">
      <c r="N228" s="101"/>
      <c r="AN228" s="102"/>
      <c r="AO228" s="103"/>
      <c r="AP228" s="104"/>
      <c r="AR228" s="104"/>
      <c r="AS228" s="43"/>
      <c r="AT228" s="104"/>
      <c r="AV228" s="104"/>
      <c r="AW228" s="102"/>
    </row>
    <row r="229" spans="14:49">
      <c r="N229" s="101"/>
      <c r="AN229" s="102"/>
      <c r="AO229" s="103"/>
      <c r="AP229" s="104"/>
      <c r="AR229" s="104"/>
      <c r="AS229" s="43"/>
      <c r="AT229" s="104"/>
      <c r="AV229" s="104"/>
      <c r="AW229" s="102"/>
    </row>
    <row r="230" spans="14:49">
      <c r="N230" s="101"/>
      <c r="AN230" s="102"/>
      <c r="AO230" s="103"/>
      <c r="AP230" s="104"/>
      <c r="AR230" s="104"/>
      <c r="AS230" s="43"/>
      <c r="AT230" s="104"/>
      <c r="AV230" s="104"/>
      <c r="AW230" s="102"/>
    </row>
    <row r="231" spans="14:49">
      <c r="N231" s="101"/>
      <c r="AN231" s="102"/>
      <c r="AO231" s="103"/>
      <c r="AP231" s="104"/>
      <c r="AR231" s="104"/>
      <c r="AS231" s="43"/>
      <c r="AT231" s="104"/>
      <c r="AV231" s="104"/>
      <c r="AW231" s="102"/>
    </row>
    <row r="232" spans="14:49">
      <c r="N232" s="101"/>
      <c r="AN232" s="102"/>
      <c r="AO232" s="103"/>
      <c r="AP232" s="104"/>
      <c r="AR232" s="104"/>
      <c r="AS232" s="43"/>
      <c r="AT232" s="104"/>
      <c r="AV232" s="104"/>
      <c r="AW232" s="102"/>
    </row>
    <row r="233" spans="14:49">
      <c r="N233" s="101"/>
      <c r="AN233" s="102"/>
      <c r="AO233" s="103"/>
      <c r="AP233" s="104"/>
      <c r="AR233" s="104"/>
      <c r="AS233" s="43"/>
      <c r="AT233" s="104"/>
      <c r="AV233" s="104"/>
      <c r="AW233" s="102"/>
    </row>
    <row r="234" spans="14:49">
      <c r="N234" s="101"/>
      <c r="AN234" s="102"/>
      <c r="AO234" s="103"/>
      <c r="AP234" s="104"/>
      <c r="AR234" s="104"/>
      <c r="AS234" s="43"/>
      <c r="AT234" s="104"/>
      <c r="AV234" s="104"/>
      <c r="AW234" s="102"/>
    </row>
    <row r="235" spans="14:49">
      <c r="N235" s="101"/>
      <c r="AN235" s="102"/>
      <c r="AO235" s="103"/>
      <c r="AP235" s="104"/>
      <c r="AR235" s="104"/>
      <c r="AS235" s="43"/>
      <c r="AT235" s="104"/>
      <c r="AV235" s="104"/>
      <c r="AW235" s="102"/>
    </row>
    <row r="236" spans="14:49">
      <c r="N236" s="101"/>
      <c r="AN236" s="102"/>
      <c r="AO236" s="103"/>
      <c r="AP236" s="104"/>
      <c r="AR236" s="104"/>
      <c r="AS236" s="43"/>
      <c r="AT236" s="104"/>
      <c r="AV236" s="104"/>
      <c r="AW236" s="102"/>
    </row>
    <row r="237" spans="14:49">
      <c r="N237" s="101"/>
      <c r="AN237" s="102"/>
      <c r="AO237" s="103"/>
      <c r="AP237" s="104"/>
      <c r="AR237" s="104"/>
      <c r="AS237" s="43"/>
      <c r="AT237" s="104"/>
      <c r="AV237" s="104"/>
      <c r="AW237" s="102"/>
    </row>
    <row r="238" spans="14:49">
      <c r="N238" s="101"/>
      <c r="AN238" s="102"/>
      <c r="AO238" s="103"/>
      <c r="AP238" s="104"/>
      <c r="AR238" s="104"/>
      <c r="AS238" s="43"/>
      <c r="AT238" s="104"/>
      <c r="AV238" s="104"/>
      <c r="AW238" s="102"/>
    </row>
    <row r="239" spans="14:49">
      <c r="N239" s="101"/>
      <c r="AN239" s="102"/>
      <c r="AO239" s="103"/>
      <c r="AP239" s="104"/>
      <c r="AR239" s="104"/>
      <c r="AS239" s="43"/>
      <c r="AT239" s="104"/>
      <c r="AV239" s="104"/>
      <c r="AW239" s="102"/>
    </row>
    <row r="240" spans="14:49">
      <c r="N240" s="101"/>
      <c r="AN240" s="102"/>
      <c r="AO240" s="103"/>
      <c r="AP240" s="104"/>
      <c r="AR240" s="104"/>
      <c r="AS240" s="43"/>
      <c r="AT240" s="104"/>
      <c r="AV240" s="104"/>
      <c r="AW240" s="102"/>
    </row>
    <row r="241" spans="14:49">
      <c r="N241" s="101"/>
      <c r="AN241" s="102"/>
      <c r="AO241" s="103"/>
      <c r="AP241" s="104"/>
      <c r="AR241" s="104"/>
      <c r="AS241" s="43"/>
      <c r="AT241" s="104"/>
      <c r="AV241" s="104"/>
      <c r="AW241" s="102"/>
    </row>
    <row r="242" spans="14:49">
      <c r="N242" s="101"/>
      <c r="AN242" s="102"/>
      <c r="AO242" s="103"/>
      <c r="AP242" s="104"/>
      <c r="AR242" s="104"/>
      <c r="AS242" s="43"/>
      <c r="AT242" s="104"/>
      <c r="AV242" s="104"/>
      <c r="AW242" s="102"/>
    </row>
    <row r="243" spans="14:49">
      <c r="N243" s="101"/>
      <c r="AN243" s="102"/>
      <c r="AO243" s="103"/>
      <c r="AP243" s="104"/>
      <c r="AR243" s="104"/>
      <c r="AS243" s="43"/>
      <c r="AT243" s="104"/>
      <c r="AV243" s="104"/>
      <c r="AW243" s="102"/>
    </row>
    <row r="244" spans="14:49">
      <c r="N244" s="101"/>
      <c r="AN244" s="102"/>
      <c r="AO244" s="103"/>
      <c r="AP244" s="104"/>
      <c r="AR244" s="104"/>
      <c r="AS244" s="43"/>
      <c r="AT244" s="104"/>
      <c r="AV244" s="104"/>
      <c r="AW244" s="102"/>
    </row>
    <row r="245" spans="14:49">
      <c r="N245" s="101"/>
      <c r="AN245" s="102"/>
      <c r="AO245" s="103"/>
      <c r="AP245" s="104"/>
      <c r="AR245" s="104"/>
      <c r="AS245" s="43"/>
      <c r="AT245" s="104"/>
      <c r="AV245" s="104"/>
      <c r="AW245" s="102"/>
    </row>
    <row r="246" spans="14:49">
      <c r="N246" s="101"/>
      <c r="AN246" s="102"/>
      <c r="AO246" s="103"/>
      <c r="AP246" s="104"/>
      <c r="AR246" s="104"/>
      <c r="AS246" s="43"/>
      <c r="AT246" s="104"/>
      <c r="AV246" s="104"/>
      <c r="AW246" s="102"/>
    </row>
    <row r="247" spans="14:49">
      <c r="N247" s="101"/>
      <c r="AN247" s="102"/>
      <c r="AO247" s="103"/>
      <c r="AP247" s="104"/>
      <c r="AR247" s="104"/>
      <c r="AS247" s="43"/>
      <c r="AT247" s="104"/>
      <c r="AV247" s="104"/>
      <c r="AW247" s="102"/>
    </row>
    <row r="248" spans="14:49">
      <c r="N248" s="101"/>
      <c r="Y248" s="78"/>
      <c r="AN248" s="102"/>
      <c r="AO248" s="103"/>
      <c r="AP248" s="104"/>
      <c r="AR248" s="104"/>
      <c r="AS248" s="43"/>
      <c r="AT248" s="104"/>
      <c r="AV248" s="104"/>
      <c r="AW248" s="102"/>
    </row>
    <row r="249" spans="14:49">
      <c r="N249" s="101"/>
      <c r="AN249" s="102"/>
      <c r="AO249" s="103"/>
      <c r="AP249" s="104"/>
      <c r="AR249" s="104"/>
      <c r="AS249" s="43"/>
      <c r="AT249" s="104"/>
      <c r="AV249" s="104"/>
      <c r="AW249" s="102"/>
    </row>
    <row r="250" spans="14:49">
      <c r="N250" s="101"/>
      <c r="AN250" s="102"/>
      <c r="AO250" s="103"/>
      <c r="AP250" s="104"/>
      <c r="AR250" s="104"/>
      <c r="AS250" s="43"/>
      <c r="AT250" s="104"/>
      <c r="AV250" s="104"/>
      <c r="AW250" s="102"/>
    </row>
    <row r="251" spans="14:49">
      <c r="N251" s="101"/>
      <c r="AN251" s="102"/>
      <c r="AO251" s="103"/>
      <c r="AP251" s="104"/>
      <c r="AR251" s="104"/>
      <c r="AS251" s="43"/>
      <c r="AT251" s="104"/>
      <c r="AV251" s="104"/>
      <c r="AW251" s="102"/>
    </row>
    <row r="252" spans="14:49">
      <c r="N252" s="101"/>
      <c r="AN252" s="102"/>
      <c r="AO252" s="103"/>
      <c r="AP252" s="104"/>
      <c r="AR252" s="104"/>
      <c r="AS252" s="43"/>
      <c r="AT252" s="104"/>
      <c r="AV252" s="104"/>
      <c r="AW252" s="102"/>
    </row>
    <row r="253" spans="14:49">
      <c r="N253" s="101"/>
      <c r="AN253" s="102"/>
      <c r="AO253" s="103"/>
      <c r="AP253" s="104"/>
      <c r="AR253" s="104"/>
      <c r="AS253" s="43"/>
      <c r="AT253" s="104"/>
      <c r="AV253" s="104"/>
      <c r="AW253" s="102"/>
    </row>
    <row r="254" spans="14:49">
      <c r="N254" s="101"/>
      <c r="AN254" s="102"/>
      <c r="AO254" s="103"/>
      <c r="AP254" s="104"/>
      <c r="AR254" s="104"/>
      <c r="AS254" s="43"/>
      <c r="AT254" s="104"/>
      <c r="AV254" s="104"/>
      <c r="AW254" s="102"/>
    </row>
    <row r="255" spans="14:49">
      <c r="N255" s="101"/>
      <c r="AN255" s="102"/>
      <c r="AO255" s="103"/>
      <c r="AP255" s="104"/>
      <c r="AR255" s="104"/>
      <c r="AS255" s="43"/>
      <c r="AT255" s="104"/>
      <c r="AV255" s="104"/>
      <c r="AW255" s="102"/>
    </row>
    <row r="256" spans="14:49">
      <c r="N256" s="101"/>
      <c r="AN256" s="102"/>
      <c r="AO256" s="103"/>
      <c r="AP256" s="104"/>
      <c r="AR256" s="104"/>
      <c r="AS256" s="43"/>
      <c r="AT256" s="104"/>
      <c r="AV256" s="104"/>
      <c r="AW256" s="102"/>
    </row>
    <row r="257" spans="14:49">
      <c r="N257" s="101"/>
      <c r="AN257" s="102"/>
      <c r="AO257" s="103"/>
      <c r="AP257" s="104"/>
      <c r="AR257" s="104"/>
      <c r="AS257" s="43"/>
      <c r="AT257" s="104"/>
      <c r="AV257" s="104"/>
      <c r="AW257" s="102"/>
    </row>
    <row r="258" spans="14:49">
      <c r="N258" s="101"/>
      <c r="AN258" s="102"/>
      <c r="AO258" s="103"/>
      <c r="AP258" s="104"/>
      <c r="AR258" s="104"/>
      <c r="AS258" s="43"/>
      <c r="AT258" s="104"/>
      <c r="AV258" s="104"/>
      <c r="AW258" s="102"/>
    </row>
    <row r="259" spans="14:49">
      <c r="N259" s="101"/>
      <c r="AN259" s="102"/>
      <c r="AO259" s="103"/>
      <c r="AP259" s="104"/>
      <c r="AR259" s="104"/>
      <c r="AS259" s="43"/>
      <c r="AT259" s="104"/>
      <c r="AV259" s="104"/>
      <c r="AW259" s="102"/>
    </row>
    <row r="260" spans="14:49">
      <c r="N260" s="101"/>
      <c r="AN260" s="102"/>
      <c r="AO260" s="103"/>
      <c r="AP260" s="104"/>
      <c r="AR260" s="104"/>
      <c r="AS260" s="43"/>
      <c r="AT260" s="104"/>
      <c r="AV260" s="104"/>
      <c r="AW260" s="102"/>
    </row>
    <row r="261" spans="14:49">
      <c r="N261" s="101"/>
      <c r="AN261" s="102"/>
      <c r="AO261" s="103"/>
      <c r="AP261" s="104"/>
      <c r="AR261" s="104"/>
      <c r="AS261" s="43"/>
      <c r="AT261" s="104"/>
      <c r="AV261" s="104"/>
      <c r="AW261" s="102"/>
    </row>
    <row r="262" spans="14:49">
      <c r="N262" s="101"/>
      <c r="AN262" s="102"/>
      <c r="AO262" s="103"/>
      <c r="AP262" s="104"/>
      <c r="AR262" s="104"/>
      <c r="AS262" s="43"/>
      <c r="AT262" s="104"/>
      <c r="AV262" s="104"/>
      <c r="AW262" s="102"/>
    </row>
    <row r="263" spans="14:49">
      <c r="N263" s="101"/>
      <c r="AN263" s="102"/>
      <c r="AO263" s="103"/>
      <c r="AP263" s="104"/>
      <c r="AR263" s="104"/>
      <c r="AS263" s="43"/>
      <c r="AT263" s="104"/>
      <c r="AV263" s="104"/>
      <c r="AW263" s="102"/>
    </row>
    <row r="264" spans="14:49">
      <c r="N264" s="101"/>
      <c r="AN264" s="102"/>
      <c r="AO264" s="103"/>
      <c r="AP264" s="104"/>
      <c r="AR264" s="104"/>
      <c r="AS264" s="43"/>
      <c r="AT264" s="104"/>
      <c r="AV264" s="104"/>
      <c r="AW264" s="102"/>
    </row>
    <row r="265" spans="14:49">
      <c r="N265" s="101"/>
      <c r="AN265" s="102"/>
      <c r="AO265" s="103"/>
      <c r="AP265" s="104"/>
      <c r="AR265" s="104"/>
      <c r="AS265" s="43"/>
      <c r="AT265" s="104"/>
      <c r="AV265" s="104"/>
      <c r="AW265" s="102"/>
    </row>
    <row r="266" spans="14:49">
      <c r="N266" s="101"/>
      <c r="AN266" s="102"/>
      <c r="AO266" s="103"/>
      <c r="AP266" s="104"/>
      <c r="AR266" s="104"/>
      <c r="AS266" s="43"/>
      <c r="AT266" s="104"/>
      <c r="AV266" s="104"/>
      <c r="AW266" s="102"/>
    </row>
    <row r="267" spans="14:49">
      <c r="N267" s="101"/>
      <c r="AN267" s="102"/>
      <c r="AO267" s="103"/>
      <c r="AP267" s="104"/>
      <c r="AR267" s="104"/>
      <c r="AS267" s="43"/>
      <c r="AT267" s="104"/>
      <c r="AV267" s="104"/>
      <c r="AW267" s="102"/>
    </row>
    <row r="268" spans="14:49">
      <c r="N268" s="101"/>
      <c r="AN268" s="102"/>
      <c r="AO268" s="103"/>
      <c r="AP268" s="104"/>
      <c r="AR268" s="104"/>
      <c r="AS268" s="43"/>
      <c r="AT268" s="104"/>
      <c r="AV268" s="104"/>
      <c r="AW268" s="102"/>
    </row>
    <row r="269" spans="14:49">
      <c r="N269" s="101"/>
      <c r="AN269" s="102"/>
      <c r="AO269" s="103"/>
      <c r="AP269" s="104"/>
      <c r="AR269" s="104"/>
      <c r="AS269" s="43"/>
      <c r="AT269" s="104"/>
      <c r="AV269" s="104"/>
      <c r="AW269" s="102"/>
    </row>
    <row r="270" spans="14:49">
      <c r="N270" s="101"/>
      <c r="AN270" s="102"/>
      <c r="AO270" s="103"/>
      <c r="AP270" s="104"/>
      <c r="AR270" s="104"/>
      <c r="AS270" s="43"/>
      <c r="AT270" s="104"/>
      <c r="AV270" s="104"/>
      <c r="AW270" s="102"/>
    </row>
    <row r="271" spans="14:49">
      <c r="N271" s="101"/>
      <c r="AN271" s="102"/>
      <c r="AO271" s="103"/>
      <c r="AP271" s="104"/>
      <c r="AR271" s="104"/>
      <c r="AS271" s="43"/>
      <c r="AT271" s="104"/>
      <c r="AV271" s="104"/>
      <c r="AW271" s="102"/>
    </row>
    <row r="272" spans="14:49">
      <c r="N272" s="101"/>
      <c r="AN272" s="102"/>
      <c r="AO272" s="103"/>
      <c r="AP272" s="104"/>
      <c r="AR272" s="104"/>
      <c r="AS272" s="43"/>
      <c r="AT272" s="104"/>
      <c r="AV272" s="104"/>
      <c r="AW272" s="102"/>
    </row>
    <row r="273" spans="14:49">
      <c r="N273" s="101"/>
      <c r="AN273" s="102"/>
      <c r="AO273" s="103"/>
      <c r="AP273" s="104"/>
      <c r="AR273" s="104"/>
      <c r="AS273" s="43"/>
      <c r="AT273" s="104"/>
      <c r="AV273" s="104"/>
      <c r="AW273" s="102"/>
    </row>
    <row r="274" spans="14:49">
      <c r="N274" s="101"/>
      <c r="AN274" s="102"/>
      <c r="AO274" s="103"/>
      <c r="AP274" s="104"/>
      <c r="AR274" s="104"/>
      <c r="AS274" s="43"/>
      <c r="AT274" s="104"/>
      <c r="AV274" s="104"/>
      <c r="AW274" s="102"/>
    </row>
    <row r="275" spans="14:49">
      <c r="N275" s="101"/>
      <c r="AN275" s="102"/>
      <c r="AO275" s="103"/>
      <c r="AP275" s="104"/>
      <c r="AR275" s="104"/>
      <c r="AS275" s="43"/>
      <c r="AT275" s="104"/>
      <c r="AV275" s="104"/>
      <c r="AW275" s="102"/>
    </row>
    <row r="276" spans="14:49">
      <c r="N276" s="101"/>
      <c r="AN276" s="102"/>
      <c r="AO276" s="103"/>
      <c r="AP276" s="104"/>
      <c r="AR276" s="104"/>
      <c r="AS276" s="43"/>
      <c r="AT276" s="104"/>
      <c r="AV276" s="104"/>
      <c r="AW276" s="102"/>
    </row>
    <row r="277" spans="14:49">
      <c r="N277" s="101"/>
      <c r="AN277" s="102"/>
      <c r="AO277" s="103"/>
      <c r="AP277" s="104"/>
      <c r="AR277" s="104"/>
      <c r="AS277" s="43"/>
      <c r="AT277" s="104"/>
      <c r="AV277" s="104"/>
      <c r="AW277" s="102"/>
    </row>
    <row r="278" spans="14:49">
      <c r="N278" s="101"/>
      <c r="AN278" s="102"/>
      <c r="AO278" s="103"/>
      <c r="AP278" s="104"/>
      <c r="AR278" s="104"/>
      <c r="AS278" s="43"/>
      <c r="AT278" s="104"/>
      <c r="AV278" s="104"/>
      <c r="AW278" s="102"/>
    </row>
    <row r="279" spans="14:49">
      <c r="N279" s="101"/>
      <c r="AN279" s="102"/>
      <c r="AO279" s="103"/>
      <c r="AP279" s="104"/>
      <c r="AR279" s="104"/>
      <c r="AS279" s="43"/>
      <c r="AT279" s="104"/>
      <c r="AV279" s="104"/>
      <c r="AW279" s="102"/>
    </row>
    <row r="280" spans="14:49">
      <c r="N280" s="101"/>
      <c r="AN280" s="102"/>
      <c r="AO280" s="103"/>
      <c r="AP280" s="104"/>
      <c r="AR280" s="104"/>
      <c r="AS280" s="43"/>
      <c r="AT280" s="104"/>
      <c r="AV280" s="104"/>
      <c r="AW280" s="102"/>
    </row>
    <row r="281" spans="14:49">
      <c r="N281" s="101"/>
      <c r="AN281" s="102"/>
      <c r="AO281" s="103"/>
      <c r="AP281" s="104"/>
      <c r="AR281" s="104"/>
      <c r="AS281" s="43"/>
      <c r="AT281" s="104"/>
      <c r="AV281" s="104"/>
      <c r="AW281" s="102"/>
    </row>
    <row r="282" spans="14:49">
      <c r="N282" s="101"/>
      <c r="AN282" s="102"/>
      <c r="AO282" s="103"/>
      <c r="AP282" s="104"/>
      <c r="AR282" s="104"/>
      <c r="AS282" s="43"/>
      <c r="AT282" s="104"/>
      <c r="AV282" s="104"/>
      <c r="AW282" s="102"/>
    </row>
    <row r="283" spans="14:49">
      <c r="N283" s="101"/>
      <c r="AN283" s="102"/>
      <c r="AO283" s="103"/>
      <c r="AP283" s="104"/>
      <c r="AR283" s="104"/>
      <c r="AS283" s="43"/>
      <c r="AT283" s="104"/>
      <c r="AV283" s="104"/>
      <c r="AW283" s="102"/>
    </row>
    <row r="284" spans="14:49">
      <c r="N284" s="101"/>
      <c r="AN284" s="102"/>
      <c r="AO284" s="103"/>
      <c r="AP284" s="104"/>
      <c r="AR284" s="104"/>
      <c r="AS284" s="43"/>
      <c r="AT284" s="104"/>
      <c r="AV284" s="104"/>
      <c r="AW284" s="102"/>
    </row>
    <row r="285" spans="14:49">
      <c r="N285" s="101"/>
      <c r="AN285" s="102"/>
      <c r="AO285" s="103"/>
      <c r="AP285" s="104"/>
      <c r="AR285" s="104"/>
      <c r="AS285" s="43"/>
      <c r="AT285" s="104"/>
      <c r="AV285" s="104"/>
      <c r="AW285" s="102"/>
    </row>
    <row r="286" spans="14:49">
      <c r="N286" s="101"/>
      <c r="AN286" s="102"/>
      <c r="AO286" s="103"/>
      <c r="AP286" s="104"/>
      <c r="AR286" s="104"/>
      <c r="AS286" s="43"/>
      <c r="AT286" s="104"/>
      <c r="AV286" s="104"/>
      <c r="AW286" s="102"/>
    </row>
    <row r="287" spans="14:49">
      <c r="N287" s="101"/>
      <c r="AN287" s="102"/>
      <c r="AO287" s="103"/>
      <c r="AP287" s="104"/>
      <c r="AR287" s="104"/>
      <c r="AS287" s="43"/>
      <c r="AT287" s="104"/>
      <c r="AV287" s="104"/>
      <c r="AW287" s="102"/>
    </row>
    <row r="288" spans="14:49">
      <c r="N288" s="101"/>
      <c r="AN288" s="102"/>
      <c r="AO288" s="103"/>
      <c r="AP288" s="104"/>
      <c r="AR288" s="104"/>
      <c r="AS288" s="43"/>
      <c r="AT288" s="104"/>
      <c r="AV288" s="104"/>
      <c r="AW288" s="102"/>
    </row>
    <row r="289" spans="14:49">
      <c r="N289" s="101"/>
      <c r="Y289" s="78"/>
      <c r="AN289" s="102"/>
      <c r="AO289" s="103"/>
      <c r="AP289" s="104"/>
      <c r="AR289" s="104"/>
      <c r="AS289" s="43"/>
      <c r="AT289" s="104"/>
      <c r="AV289" s="104"/>
      <c r="AW289" s="102"/>
    </row>
    <row r="290" spans="14:49">
      <c r="N290" s="101"/>
      <c r="AN290" s="102"/>
      <c r="AO290" s="103"/>
      <c r="AP290" s="104"/>
      <c r="AR290" s="104"/>
      <c r="AS290" s="43"/>
      <c r="AT290" s="104"/>
      <c r="AV290" s="104"/>
      <c r="AW290" s="102"/>
    </row>
    <row r="291" spans="14:49">
      <c r="N291" s="101"/>
      <c r="AN291" s="102"/>
      <c r="AO291" s="103"/>
      <c r="AP291" s="104"/>
      <c r="AR291" s="104"/>
      <c r="AS291" s="43"/>
      <c r="AT291" s="104"/>
      <c r="AV291" s="104"/>
      <c r="AW291" s="102"/>
    </row>
    <row r="292" spans="14:49">
      <c r="N292" s="101"/>
      <c r="AN292" s="102"/>
      <c r="AO292" s="103"/>
      <c r="AP292" s="104"/>
      <c r="AR292" s="104"/>
      <c r="AS292" s="43"/>
      <c r="AT292" s="104"/>
      <c r="AV292" s="104"/>
      <c r="AW292" s="102"/>
    </row>
    <row r="293" spans="14:49">
      <c r="N293" s="101"/>
      <c r="AN293" s="102"/>
      <c r="AO293" s="103"/>
      <c r="AP293" s="104"/>
      <c r="AR293" s="104"/>
      <c r="AS293" s="43"/>
      <c r="AT293" s="104"/>
      <c r="AV293" s="104"/>
      <c r="AW293" s="102"/>
    </row>
    <row r="294" spans="14:49">
      <c r="N294" s="101"/>
      <c r="AN294" s="102"/>
      <c r="AO294" s="103"/>
      <c r="AP294" s="104"/>
      <c r="AR294" s="104"/>
      <c r="AS294" s="43"/>
      <c r="AT294" s="104"/>
      <c r="AV294" s="104"/>
      <c r="AW294" s="102"/>
    </row>
    <row r="295" spans="14:49">
      <c r="N295" s="101"/>
      <c r="AN295" s="102"/>
      <c r="AO295" s="103"/>
      <c r="AP295" s="104"/>
      <c r="AR295" s="104"/>
      <c r="AS295" s="43"/>
      <c r="AT295" s="104"/>
      <c r="AV295" s="104"/>
      <c r="AW295" s="102"/>
    </row>
    <row r="296" spans="14:49">
      <c r="N296" s="101"/>
      <c r="AN296" s="102"/>
      <c r="AO296" s="103"/>
      <c r="AP296" s="104"/>
      <c r="AR296" s="104"/>
      <c r="AS296" s="43"/>
      <c r="AT296" s="104"/>
      <c r="AV296" s="104"/>
      <c r="AW296" s="102"/>
    </row>
    <row r="297" spans="14:49">
      <c r="N297" s="101"/>
      <c r="AN297" s="102"/>
      <c r="AO297" s="103"/>
      <c r="AP297" s="104"/>
      <c r="AR297" s="104"/>
      <c r="AS297" s="43"/>
      <c r="AT297" s="104"/>
      <c r="AV297" s="104"/>
      <c r="AW297" s="102"/>
    </row>
    <row r="298" spans="14:49">
      <c r="N298" s="101"/>
      <c r="AN298" s="102"/>
      <c r="AO298" s="103"/>
      <c r="AP298" s="104"/>
      <c r="AR298" s="104"/>
      <c r="AS298" s="43"/>
      <c r="AT298" s="104"/>
      <c r="AV298" s="104"/>
      <c r="AW298" s="102"/>
    </row>
    <row r="299" spans="14:49">
      <c r="N299" s="101"/>
      <c r="AN299" s="102"/>
      <c r="AO299" s="103"/>
      <c r="AP299" s="104"/>
      <c r="AR299" s="104"/>
      <c r="AS299" s="43"/>
      <c r="AT299" s="104"/>
      <c r="AV299" s="104"/>
      <c r="AW299" s="102"/>
    </row>
    <row r="300" spans="14:49">
      <c r="N300" s="101"/>
      <c r="AN300" s="102"/>
      <c r="AO300" s="103"/>
      <c r="AP300" s="104"/>
      <c r="AR300" s="104"/>
      <c r="AS300" s="43"/>
      <c r="AT300" s="104"/>
      <c r="AV300" s="104"/>
      <c r="AW300" s="102"/>
    </row>
    <row r="301" spans="14:49">
      <c r="N301" s="101"/>
      <c r="AN301" s="102"/>
      <c r="AO301" s="103"/>
      <c r="AP301" s="104"/>
      <c r="AR301" s="104"/>
      <c r="AS301" s="43"/>
      <c r="AT301" s="104"/>
      <c r="AV301" s="104"/>
      <c r="AW301" s="102"/>
    </row>
    <row r="302" spans="14:49">
      <c r="N302" s="101"/>
      <c r="AN302" s="102"/>
      <c r="AO302" s="103"/>
      <c r="AP302" s="104"/>
      <c r="AR302" s="104"/>
      <c r="AS302" s="43"/>
      <c r="AT302" s="104"/>
      <c r="AV302" s="104"/>
      <c r="AW302" s="102"/>
    </row>
    <row r="303" spans="14:49">
      <c r="N303" s="101"/>
      <c r="AN303" s="102"/>
      <c r="AO303" s="103"/>
      <c r="AP303" s="104"/>
      <c r="AR303" s="104"/>
      <c r="AS303" s="43"/>
      <c r="AT303" s="104"/>
      <c r="AV303" s="104"/>
      <c r="AW303" s="102"/>
    </row>
    <row r="304" spans="14:49">
      <c r="N304" s="101"/>
      <c r="AN304" s="102"/>
      <c r="AO304" s="103"/>
      <c r="AP304" s="104"/>
      <c r="AR304" s="104"/>
      <c r="AS304" s="43"/>
      <c r="AT304" s="104"/>
      <c r="AV304" s="104"/>
      <c r="AW304" s="102"/>
    </row>
    <row r="305" spans="14:49">
      <c r="N305" s="101"/>
      <c r="AN305" s="102"/>
      <c r="AO305" s="103"/>
      <c r="AP305" s="104"/>
      <c r="AR305" s="104"/>
      <c r="AS305" s="43"/>
      <c r="AT305" s="104"/>
      <c r="AV305" s="104"/>
      <c r="AW305" s="102"/>
    </row>
    <row r="306" spans="14:49">
      <c r="N306" s="101"/>
      <c r="AN306" s="102"/>
      <c r="AO306" s="103"/>
      <c r="AP306" s="104"/>
      <c r="AR306" s="104"/>
      <c r="AS306" s="43"/>
      <c r="AT306" s="104"/>
      <c r="AV306" s="104"/>
      <c r="AW306" s="102"/>
    </row>
    <row r="307" spans="14:49">
      <c r="N307" s="101"/>
      <c r="AN307" s="102"/>
      <c r="AO307" s="103"/>
      <c r="AP307" s="104"/>
      <c r="AR307" s="104"/>
      <c r="AS307" s="43"/>
      <c r="AT307" s="104"/>
      <c r="AV307" s="104"/>
      <c r="AW307" s="102"/>
    </row>
    <row r="308" spans="14:49">
      <c r="N308" s="101"/>
      <c r="AN308" s="102"/>
      <c r="AO308" s="103"/>
      <c r="AP308" s="104"/>
      <c r="AR308" s="104"/>
      <c r="AS308" s="43"/>
      <c r="AT308" s="104"/>
      <c r="AV308" s="104"/>
      <c r="AW308" s="102"/>
    </row>
    <row r="309" spans="14:49">
      <c r="N309" s="101"/>
      <c r="AN309" s="102"/>
      <c r="AO309" s="103"/>
      <c r="AP309" s="104"/>
      <c r="AR309" s="104"/>
      <c r="AS309" s="43"/>
      <c r="AT309" s="104"/>
      <c r="AV309" s="104"/>
      <c r="AW309" s="102"/>
    </row>
    <row r="310" spans="14:49">
      <c r="N310" s="101"/>
      <c r="AN310" s="102"/>
      <c r="AO310" s="103"/>
      <c r="AP310" s="104"/>
      <c r="AR310" s="104"/>
      <c r="AS310" s="43"/>
      <c r="AT310" s="104"/>
      <c r="AV310" s="104"/>
      <c r="AW310" s="102"/>
    </row>
    <row r="311" spans="14:49">
      <c r="N311" s="101"/>
      <c r="AN311" s="102"/>
      <c r="AO311" s="103"/>
      <c r="AP311" s="104"/>
      <c r="AR311" s="104"/>
      <c r="AS311" s="43"/>
      <c r="AT311" s="104"/>
      <c r="AV311" s="104"/>
      <c r="AW311" s="102"/>
    </row>
    <row r="312" spans="14:49">
      <c r="N312" s="101"/>
      <c r="AN312" s="102"/>
      <c r="AO312" s="103"/>
      <c r="AP312" s="104"/>
      <c r="AR312" s="104"/>
      <c r="AS312" s="43"/>
      <c r="AT312" s="104"/>
      <c r="AV312" s="104"/>
      <c r="AW312" s="102"/>
    </row>
    <row r="313" spans="14:49">
      <c r="N313" s="101"/>
      <c r="AN313" s="102"/>
      <c r="AO313" s="103"/>
      <c r="AP313" s="104"/>
      <c r="AR313" s="104"/>
      <c r="AS313" s="43"/>
      <c r="AT313" s="104"/>
      <c r="AV313" s="104"/>
      <c r="AW313" s="102"/>
    </row>
    <row r="314" spans="14:49">
      <c r="N314" s="101"/>
      <c r="AN314" s="102"/>
      <c r="AO314" s="103"/>
      <c r="AP314" s="104"/>
      <c r="AR314" s="104"/>
      <c r="AS314" s="43"/>
      <c r="AT314" s="104"/>
      <c r="AV314" s="104"/>
      <c r="AW314" s="102"/>
    </row>
    <row r="315" spans="14:49">
      <c r="N315" s="101"/>
      <c r="AN315" s="102"/>
      <c r="AO315" s="103"/>
      <c r="AP315" s="104"/>
      <c r="AR315" s="104"/>
      <c r="AS315" s="43"/>
      <c r="AT315" s="104"/>
      <c r="AV315" s="104"/>
      <c r="AW315" s="102"/>
    </row>
    <row r="316" spans="14:49">
      <c r="N316" s="101"/>
      <c r="AN316" s="102"/>
      <c r="AO316" s="103"/>
      <c r="AP316" s="104"/>
      <c r="AR316" s="104"/>
      <c r="AS316" s="43"/>
      <c r="AT316" s="104"/>
      <c r="AV316" s="104"/>
      <c r="AW316" s="102"/>
    </row>
    <row r="317" spans="14:49">
      <c r="N317" s="101"/>
      <c r="AN317" s="102"/>
      <c r="AO317" s="103"/>
      <c r="AP317" s="104"/>
      <c r="AR317" s="104"/>
      <c r="AS317" s="43"/>
      <c r="AT317" s="104"/>
      <c r="AV317" s="104"/>
      <c r="AW317" s="102"/>
    </row>
    <row r="318" spans="14:49">
      <c r="N318" s="101"/>
      <c r="AN318" s="102"/>
      <c r="AO318" s="103"/>
      <c r="AP318" s="104"/>
      <c r="AR318" s="104"/>
      <c r="AS318" s="43"/>
      <c r="AT318" s="104"/>
      <c r="AV318" s="104"/>
      <c r="AW318" s="102"/>
    </row>
    <row r="319" spans="14:49">
      <c r="N319" s="101"/>
      <c r="AN319" s="102"/>
      <c r="AO319" s="103"/>
      <c r="AP319" s="104"/>
      <c r="AR319" s="104"/>
      <c r="AS319" s="43"/>
      <c r="AT319" s="104"/>
      <c r="AV319" s="104"/>
      <c r="AW319" s="102"/>
    </row>
    <row r="320" spans="14:49">
      <c r="N320" s="101"/>
      <c r="AN320" s="102"/>
      <c r="AO320" s="103"/>
      <c r="AP320" s="104"/>
      <c r="AR320" s="104"/>
      <c r="AS320" s="43"/>
      <c r="AT320" s="104"/>
      <c r="AV320" s="104"/>
      <c r="AW320" s="102"/>
    </row>
    <row r="321" spans="14:49">
      <c r="N321" s="101"/>
      <c r="AN321" s="102"/>
      <c r="AO321" s="103"/>
      <c r="AP321" s="104"/>
      <c r="AR321" s="104"/>
      <c r="AS321" s="43"/>
      <c r="AT321" s="104"/>
      <c r="AV321" s="104"/>
      <c r="AW321" s="102"/>
    </row>
    <row r="322" spans="14:49">
      <c r="N322" s="101"/>
      <c r="AN322" s="102"/>
      <c r="AO322" s="103"/>
      <c r="AP322" s="104"/>
      <c r="AR322" s="104"/>
      <c r="AS322" s="43"/>
      <c r="AT322" s="104"/>
      <c r="AV322" s="104"/>
      <c r="AW322" s="102"/>
    </row>
    <row r="323" spans="14:49">
      <c r="N323" s="101"/>
      <c r="AN323" s="102"/>
      <c r="AO323" s="103"/>
      <c r="AP323" s="104"/>
      <c r="AR323" s="104"/>
      <c r="AS323" s="43"/>
      <c r="AT323" s="104"/>
      <c r="AV323" s="104"/>
      <c r="AW323" s="102"/>
    </row>
    <row r="324" spans="14:49">
      <c r="N324" s="101"/>
      <c r="AN324" s="102"/>
      <c r="AO324" s="103"/>
      <c r="AP324" s="104"/>
      <c r="AR324" s="104"/>
      <c r="AS324" s="43"/>
      <c r="AT324" s="104"/>
      <c r="AV324" s="104"/>
      <c r="AW324" s="102"/>
    </row>
    <row r="325" spans="14:49">
      <c r="N325" s="101"/>
      <c r="AN325" s="102"/>
      <c r="AO325" s="103"/>
      <c r="AP325" s="104"/>
      <c r="AR325" s="104"/>
      <c r="AS325" s="43"/>
      <c r="AT325" s="104"/>
      <c r="AV325" s="104"/>
      <c r="AW325" s="102"/>
    </row>
    <row r="326" spans="14:49">
      <c r="N326" s="101"/>
      <c r="AN326" s="102"/>
      <c r="AO326" s="103"/>
      <c r="AP326" s="104"/>
      <c r="AR326" s="104"/>
      <c r="AS326" s="43"/>
      <c r="AT326" s="104"/>
      <c r="AV326" s="104"/>
      <c r="AW326" s="102"/>
    </row>
    <row r="327" spans="14:49">
      <c r="N327" s="101"/>
      <c r="AN327" s="102"/>
      <c r="AO327" s="103"/>
      <c r="AP327" s="104"/>
      <c r="AR327" s="104"/>
      <c r="AS327" s="43"/>
      <c r="AT327" s="104"/>
      <c r="AV327" s="104"/>
      <c r="AW327" s="102"/>
    </row>
    <row r="328" spans="14:49">
      <c r="N328" s="101"/>
      <c r="AN328" s="102"/>
      <c r="AO328" s="103"/>
      <c r="AP328" s="104"/>
      <c r="AR328" s="104"/>
      <c r="AS328" s="43"/>
      <c r="AT328" s="104"/>
      <c r="AV328" s="104"/>
      <c r="AW328" s="102"/>
    </row>
    <row r="329" spans="14:49">
      <c r="N329" s="101"/>
      <c r="AN329" s="102"/>
      <c r="AO329" s="103"/>
      <c r="AP329" s="104"/>
      <c r="AR329" s="104"/>
      <c r="AS329" s="43"/>
      <c r="AT329" s="104"/>
      <c r="AV329" s="104"/>
      <c r="AW329" s="102"/>
    </row>
    <row r="330" spans="14:49">
      <c r="N330" s="101"/>
      <c r="Y330" s="78"/>
      <c r="AN330" s="102"/>
      <c r="AO330" s="103"/>
      <c r="AP330" s="104"/>
      <c r="AR330" s="104"/>
      <c r="AS330" s="43"/>
      <c r="AT330" s="104"/>
      <c r="AV330" s="104"/>
      <c r="AW330" s="102"/>
    </row>
    <row r="331" spans="14:49">
      <c r="N331" s="101"/>
      <c r="AN331" s="102"/>
      <c r="AO331" s="103"/>
      <c r="AP331" s="104"/>
      <c r="AR331" s="104"/>
      <c r="AS331" s="43"/>
      <c r="AT331" s="104"/>
      <c r="AV331" s="104"/>
      <c r="AW331" s="102"/>
    </row>
    <row r="332" spans="14:49">
      <c r="N332" s="101"/>
      <c r="AN332" s="102"/>
      <c r="AO332" s="103"/>
      <c r="AP332" s="104"/>
      <c r="AR332" s="104"/>
      <c r="AS332" s="43"/>
      <c r="AT332" s="104"/>
      <c r="AV332" s="104"/>
      <c r="AW332" s="102"/>
    </row>
    <row r="333" spans="14:49">
      <c r="N333" s="101"/>
      <c r="AN333" s="102"/>
      <c r="AO333" s="103"/>
      <c r="AP333" s="104"/>
      <c r="AR333" s="104"/>
      <c r="AS333" s="43"/>
      <c r="AT333" s="104"/>
      <c r="AV333" s="104"/>
      <c r="AW333" s="102"/>
    </row>
    <row r="334" spans="14:49">
      <c r="N334" s="101"/>
      <c r="AN334" s="102"/>
      <c r="AO334" s="103"/>
      <c r="AP334" s="104"/>
      <c r="AR334" s="104"/>
      <c r="AS334" s="43"/>
      <c r="AT334" s="104"/>
      <c r="AV334" s="104"/>
      <c r="AW334" s="102"/>
    </row>
    <row r="335" spans="14:49">
      <c r="N335" s="101"/>
      <c r="AN335" s="102"/>
      <c r="AO335" s="103"/>
      <c r="AP335" s="104"/>
      <c r="AR335" s="104"/>
      <c r="AS335" s="43"/>
      <c r="AT335" s="104"/>
      <c r="AV335" s="104"/>
      <c r="AW335" s="102"/>
    </row>
    <row r="336" spans="14:49">
      <c r="N336" s="101"/>
      <c r="AN336" s="102"/>
      <c r="AO336" s="103"/>
      <c r="AP336" s="104"/>
      <c r="AR336" s="104"/>
      <c r="AS336" s="43"/>
      <c r="AT336" s="104"/>
      <c r="AV336" s="104"/>
      <c r="AW336" s="102"/>
    </row>
    <row r="337" spans="14:49">
      <c r="N337" s="101"/>
      <c r="AN337" s="102"/>
      <c r="AO337" s="103"/>
      <c r="AP337" s="104"/>
      <c r="AR337" s="104"/>
      <c r="AS337" s="43"/>
      <c r="AT337" s="104"/>
      <c r="AV337" s="104"/>
      <c r="AW337" s="102"/>
    </row>
    <row r="338" spans="14:49">
      <c r="N338" s="101"/>
      <c r="AN338" s="102"/>
      <c r="AO338" s="103"/>
      <c r="AP338" s="104"/>
      <c r="AR338" s="104"/>
      <c r="AS338" s="43"/>
      <c r="AT338" s="104"/>
      <c r="AV338" s="104"/>
      <c r="AW338" s="102"/>
    </row>
    <row r="339" spans="14:49">
      <c r="N339" s="101"/>
      <c r="AN339" s="102"/>
      <c r="AO339" s="103"/>
      <c r="AP339" s="104"/>
      <c r="AR339" s="104"/>
      <c r="AS339" s="43"/>
      <c r="AT339" s="104"/>
      <c r="AV339" s="104"/>
      <c r="AW339" s="102"/>
    </row>
    <row r="340" spans="14:49">
      <c r="N340" s="101"/>
      <c r="AN340" s="102"/>
      <c r="AO340" s="103"/>
      <c r="AP340" s="104"/>
      <c r="AR340" s="104"/>
      <c r="AS340" s="43"/>
      <c r="AT340" s="104"/>
      <c r="AV340" s="104"/>
      <c r="AW340" s="102"/>
    </row>
    <row r="341" spans="14:49">
      <c r="N341" s="101"/>
      <c r="AN341" s="102"/>
      <c r="AO341" s="103"/>
      <c r="AP341" s="104"/>
      <c r="AR341" s="104"/>
      <c r="AS341" s="43"/>
      <c r="AT341" s="104"/>
      <c r="AV341" s="104"/>
      <c r="AW341" s="102"/>
    </row>
    <row r="342" spans="14:49">
      <c r="N342" s="101"/>
      <c r="AN342" s="102"/>
      <c r="AO342" s="103"/>
      <c r="AP342" s="104"/>
      <c r="AR342" s="104"/>
      <c r="AS342" s="43"/>
      <c r="AT342" s="104"/>
      <c r="AV342" s="104"/>
      <c r="AW342" s="102"/>
    </row>
    <row r="343" spans="14:49">
      <c r="N343" s="101"/>
      <c r="AN343" s="102"/>
      <c r="AO343" s="103"/>
      <c r="AP343" s="104"/>
      <c r="AR343" s="104"/>
      <c r="AS343" s="43"/>
      <c r="AT343" s="104"/>
      <c r="AV343" s="104"/>
      <c r="AW343" s="102"/>
    </row>
    <row r="344" spans="14:49">
      <c r="N344" s="101"/>
      <c r="AN344" s="102"/>
      <c r="AO344" s="103"/>
      <c r="AP344" s="104"/>
      <c r="AR344" s="104"/>
      <c r="AS344" s="43"/>
      <c r="AT344" s="104"/>
      <c r="AV344" s="104"/>
      <c r="AW344" s="102"/>
    </row>
    <row r="345" spans="14:49">
      <c r="N345" s="101"/>
      <c r="AN345" s="102"/>
      <c r="AO345" s="103"/>
      <c r="AP345" s="104"/>
      <c r="AR345" s="104"/>
      <c r="AS345" s="43"/>
      <c r="AT345" s="104"/>
      <c r="AV345" s="104"/>
      <c r="AW345" s="102"/>
    </row>
    <row r="346" spans="14:49">
      <c r="N346" s="101"/>
      <c r="AN346" s="102"/>
      <c r="AO346" s="103"/>
      <c r="AP346" s="104"/>
      <c r="AR346" s="104"/>
      <c r="AS346" s="43"/>
      <c r="AT346" s="104"/>
      <c r="AV346" s="104"/>
      <c r="AW346" s="102"/>
    </row>
    <row r="347" spans="14:49">
      <c r="N347" s="101"/>
      <c r="AN347" s="102"/>
      <c r="AO347" s="103"/>
      <c r="AP347" s="104"/>
      <c r="AR347" s="104"/>
      <c r="AS347" s="43"/>
      <c r="AT347" s="104"/>
      <c r="AV347" s="104"/>
      <c r="AW347" s="102"/>
    </row>
    <row r="348" spans="14:49">
      <c r="N348" s="101"/>
      <c r="AN348" s="102"/>
      <c r="AO348" s="103"/>
      <c r="AP348" s="104"/>
      <c r="AR348" s="104"/>
      <c r="AS348" s="43"/>
      <c r="AT348" s="104"/>
      <c r="AV348" s="104"/>
      <c r="AW348" s="102"/>
    </row>
    <row r="349" spans="14:49">
      <c r="N349" s="101"/>
      <c r="AN349" s="102"/>
      <c r="AO349" s="103"/>
      <c r="AP349" s="104"/>
      <c r="AR349" s="104"/>
      <c r="AS349" s="43"/>
      <c r="AT349" s="104"/>
      <c r="AV349" s="104"/>
      <c r="AW349" s="102"/>
    </row>
    <row r="350" spans="14:49">
      <c r="N350" s="101"/>
      <c r="AN350" s="102"/>
      <c r="AO350" s="103"/>
      <c r="AP350" s="104"/>
      <c r="AR350" s="104"/>
      <c r="AS350" s="43"/>
      <c r="AT350" s="104"/>
      <c r="AV350" s="104"/>
      <c r="AW350" s="102"/>
    </row>
    <row r="351" spans="14:49">
      <c r="N351" s="101"/>
      <c r="AN351" s="102"/>
      <c r="AO351" s="103"/>
      <c r="AP351" s="104"/>
      <c r="AR351" s="104"/>
      <c r="AS351" s="43"/>
      <c r="AT351" s="104"/>
      <c r="AV351" s="104"/>
      <c r="AW351" s="102"/>
    </row>
    <row r="352" spans="14:49">
      <c r="N352" s="101"/>
      <c r="AN352" s="102"/>
      <c r="AO352" s="103"/>
      <c r="AP352" s="104"/>
      <c r="AR352" s="104"/>
      <c r="AS352" s="43"/>
      <c r="AT352" s="104"/>
      <c r="AV352" s="104"/>
      <c r="AW352" s="102"/>
    </row>
    <row r="353" spans="14:49">
      <c r="N353" s="101"/>
      <c r="AN353" s="102"/>
      <c r="AO353" s="103"/>
      <c r="AP353" s="104"/>
      <c r="AR353" s="104"/>
      <c r="AS353" s="43"/>
      <c r="AT353" s="104"/>
      <c r="AV353" s="104"/>
      <c r="AW353" s="102"/>
    </row>
    <row r="354" spans="14:49">
      <c r="N354" s="101"/>
      <c r="AN354" s="102"/>
      <c r="AO354" s="103"/>
      <c r="AP354" s="104"/>
      <c r="AR354" s="104"/>
      <c r="AS354" s="43"/>
      <c r="AT354" s="104"/>
      <c r="AV354" s="104"/>
      <c r="AW354" s="102"/>
    </row>
    <row r="355" spans="14:49">
      <c r="N355" s="101"/>
      <c r="AN355" s="102"/>
      <c r="AO355" s="103"/>
      <c r="AP355" s="104"/>
      <c r="AR355" s="104"/>
      <c r="AS355" s="43"/>
      <c r="AT355" s="104"/>
      <c r="AV355" s="104"/>
      <c r="AW355" s="102"/>
    </row>
    <row r="356" spans="14:49">
      <c r="N356" s="101"/>
      <c r="AN356" s="102"/>
      <c r="AO356" s="103"/>
      <c r="AP356" s="104"/>
      <c r="AR356" s="104"/>
      <c r="AS356" s="43"/>
      <c r="AT356" s="104"/>
      <c r="AV356" s="104"/>
      <c r="AW356" s="102"/>
    </row>
    <row r="357" spans="14:49">
      <c r="N357" s="101"/>
      <c r="AN357" s="102"/>
      <c r="AO357" s="103"/>
      <c r="AP357" s="104"/>
      <c r="AR357" s="104"/>
      <c r="AS357" s="43"/>
      <c r="AT357" s="104"/>
      <c r="AV357" s="104"/>
      <c r="AW357" s="102"/>
    </row>
    <row r="358" spans="14:49">
      <c r="N358" s="101"/>
      <c r="AN358" s="102"/>
      <c r="AO358" s="103"/>
      <c r="AP358" s="104"/>
      <c r="AR358" s="104"/>
      <c r="AS358" s="43"/>
      <c r="AT358" s="104"/>
      <c r="AV358" s="104"/>
      <c r="AW358" s="102"/>
    </row>
    <row r="359" spans="14:49">
      <c r="N359" s="101"/>
      <c r="AN359" s="102"/>
      <c r="AO359" s="103"/>
      <c r="AP359" s="104"/>
      <c r="AR359" s="104"/>
      <c r="AS359" s="43"/>
      <c r="AT359" s="104"/>
      <c r="AV359" s="104"/>
      <c r="AW359" s="102"/>
    </row>
    <row r="360" spans="14:49">
      <c r="N360" s="101"/>
      <c r="AN360" s="102"/>
      <c r="AO360" s="103"/>
      <c r="AP360" s="104"/>
      <c r="AR360" s="104"/>
      <c r="AS360" s="43"/>
      <c r="AT360" s="104"/>
      <c r="AV360" s="104"/>
      <c r="AW360" s="102"/>
    </row>
    <row r="361" spans="14:49">
      <c r="N361" s="101"/>
      <c r="AN361" s="102"/>
      <c r="AO361" s="103"/>
      <c r="AP361" s="104"/>
      <c r="AR361" s="104"/>
      <c r="AS361" s="43"/>
      <c r="AT361" s="104"/>
      <c r="AV361" s="104"/>
      <c r="AW361" s="102"/>
    </row>
    <row r="362" spans="14:49">
      <c r="N362" s="101"/>
      <c r="AN362" s="102"/>
      <c r="AO362" s="103"/>
      <c r="AP362" s="104"/>
      <c r="AR362" s="104"/>
      <c r="AS362" s="43"/>
      <c r="AT362" s="104"/>
      <c r="AV362" s="104"/>
      <c r="AW362" s="102"/>
    </row>
    <row r="363" spans="14:49">
      <c r="N363" s="101"/>
      <c r="AN363" s="102"/>
      <c r="AO363" s="103"/>
      <c r="AP363" s="104"/>
      <c r="AR363" s="104"/>
      <c r="AS363" s="43"/>
      <c r="AT363" s="104"/>
      <c r="AV363" s="104"/>
      <c r="AW363" s="102"/>
    </row>
    <row r="364" spans="14:49">
      <c r="N364" s="101"/>
      <c r="AN364" s="102"/>
      <c r="AO364" s="103"/>
      <c r="AP364" s="104"/>
      <c r="AR364" s="104"/>
      <c r="AS364" s="43"/>
      <c r="AT364" s="104"/>
      <c r="AV364" s="104"/>
      <c r="AW364" s="102"/>
    </row>
    <row r="365" spans="14:49">
      <c r="N365" s="101"/>
      <c r="AN365" s="102"/>
      <c r="AO365" s="103"/>
      <c r="AP365" s="104"/>
      <c r="AR365" s="104"/>
      <c r="AS365" s="43"/>
      <c r="AT365" s="104"/>
      <c r="AV365" s="104"/>
      <c r="AW365" s="102"/>
    </row>
    <row r="366" spans="14:49">
      <c r="N366" s="101"/>
      <c r="AN366" s="102"/>
      <c r="AO366" s="103"/>
      <c r="AP366" s="104"/>
      <c r="AR366" s="104"/>
      <c r="AS366" s="43"/>
      <c r="AT366" s="104"/>
      <c r="AV366" s="104"/>
      <c r="AW366" s="102"/>
    </row>
    <row r="367" spans="14:49">
      <c r="N367" s="101"/>
      <c r="AN367" s="102"/>
      <c r="AO367" s="103"/>
      <c r="AP367" s="104"/>
      <c r="AR367" s="104"/>
      <c r="AS367" s="43"/>
      <c r="AT367" s="104"/>
      <c r="AV367" s="104"/>
      <c r="AW367" s="102"/>
    </row>
    <row r="368" spans="14:49">
      <c r="N368" s="101"/>
      <c r="AN368" s="102"/>
      <c r="AO368" s="103"/>
      <c r="AP368" s="104"/>
      <c r="AR368" s="104"/>
      <c r="AS368" s="43"/>
      <c r="AT368" s="104"/>
      <c r="AV368" s="104"/>
      <c r="AW368" s="102"/>
    </row>
    <row r="369" spans="14:49">
      <c r="N369" s="101"/>
      <c r="AN369" s="102"/>
      <c r="AO369" s="103"/>
      <c r="AP369" s="104"/>
      <c r="AR369" s="104"/>
      <c r="AS369" s="43"/>
      <c r="AT369" s="104"/>
      <c r="AV369" s="104"/>
      <c r="AW369" s="102"/>
    </row>
    <row r="370" spans="14:49">
      <c r="N370" s="101"/>
      <c r="AN370" s="102"/>
      <c r="AO370" s="103"/>
      <c r="AP370" s="104"/>
      <c r="AR370" s="104"/>
      <c r="AS370" s="43"/>
      <c r="AT370" s="104"/>
      <c r="AV370" s="104"/>
      <c r="AW370" s="102"/>
    </row>
    <row r="371" spans="14:49">
      <c r="N371" s="101"/>
      <c r="Y371" s="78"/>
      <c r="AN371" s="102"/>
      <c r="AO371" s="103"/>
      <c r="AP371" s="104"/>
      <c r="AR371" s="104"/>
      <c r="AS371" s="43"/>
      <c r="AT371" s="104"/>
      <c r="AV371" s="104"/>
      <c r="AW371" s="102"/>
    </row>
    <row r="372" spans="14:49">
      <c r="N372" s="101"/>
      <c r="AN372" s="102"/>
      <c r="AO372" s="103"/>
      <c r="AP372" s="104"/>
      <c r="AR372" s="104"/>
      <c r="AS372" s="43"/>
      <c r="AT372" s="104"/>
      <c r="AV372" s="104"/>
      <c r="AW372" s="102"/>
    </row>
    <row r="373" spans="14:49">
      <c r="N373" s="101"/>
      <c r="AN373" s="102"/>
      <c r="AO373" s="103"/>
      <c r="AP373" s="104"/>
      <c r="AR373" s="104"/>
      <c r="AS373" s="43"/>
      <c r="AT373" s="104"/>
      <c r="AV373" s="104"/>
      <c r="AW373" s="102"/>
    </row>
    <row r="374" spans="14:49">
      <c r="N374" s="101"/>
      <c r="AN374" s="102"/>
      <c r="AO374" s="103"/>
      <c r="AP374" s="104"/>
      <c r="AR374" s="104"/>
      <c r="AS374" s="43"/>
      <c r="AT374" s="104"/>
      <c r="AV374" s="104"/>
      <c r="AW374" s="102"/>
    </row>
    <row r="375" spans="14:49">
      <c r="N375" s="101"/>
      <c r="AN375" s="102"/>
      <c r="AO375" s="103"/>
      <c r="AP375" s="104"/>
      <c r="AR375" s="104"/>
      <c r="AS375" s="43"/>
      <c r="AT375" s="104"/>
      <c r="AV375" s="104"/>
      <c r="AW375" s="102"/>
    </row>
    <row r="376" spans="14:49">
      <c r="N376" s="101"/>
      <c r="AN376" s="102"/>
      <c r="AO376" s="103"/>
      <c r="AP376" s="104"/>
      <c r="AR376" s="104"/>
      <c r="AS376" s="43"/>
      <c r="AT376" s="104"/>
      <c r="AV376" s="104"/>
      <c r="AW376" s="102"/>
    </row>
    <row r="377" spans="14:49">
      <c r="N377" s="101"/>
      <c r="AN377" s="102"/>
      <c r="AO377" s="103"/>
      <c r="AP377" s="104"/>
      <c r="AR377" s="104"/>
      <c r="AS377" s="43"/>
      <c r="AT377" s="104"/>
      <c r="AV377" s="104"/>
      <c r="AW377" s="102"/>
    </row>
    <row r="378" spans="14:49">
      <c r="N378" s="101"/>
      <c r="AN378" s="102"/>
      <c r="AO378" s="103"/>
      <c r="AP378" s="104"/>
      <c r="AR378" s="104"/>
      <c r="AS378" s="43"/>
      <c r="AT378" s="104"/>
      <c r="AV378" s="104"/>
      <c r="AW378" s="102"/>
    </row>
    <row r="379" spans="14:49">
      <c r="N379" s="101"/>
      <c r="AN379" s="102"/>
      <c r="AO379" s="103"/>
      <c r="AP379" s="104"/>
      <c r="AR379" s="104"/>
      <c r="AS379" s="43"/>
      <c r="AT379" s="104"/>
      <c r="AV379" s="104"/>
      <c r="AW379" s="102"/>
    </row>
    <row r="380" spans="14:49">
      <c r="N380" s="101"/>
      <c r="AN380" s="102"/>
      <c r="AO380" s="103"/>
      <c r="AP380" s="104"/>
      <c r="AR380" s="104"/>
      <c r="AS380" s="43"/>
      <c r="AT380" s="104"/>
      <c r="AV380" s="104"/>
      <c r="AW380" s="102"/>
    </row>
    <row r="381" spans="14:49">
      <c r="N381" s="101"/>
      <c r="AN381" s="102"/>
      <c r="AO381" s="103"/>
      <c r="AP381" s="104"/>
      <c r="AR381" s="104"/>
      <c r="AS381" s="43"/>
      <c r="AT381" s="104"/>
      <c r="AV381" s="104"/>
      <c r="AW381" s="102"/>
    </row>
    <row r="382" spans="14:49">
      <c r="N382" s="101"/>
      <c r="AN382" s="102"/>
      <c r="AO382" s="103"/>
      <c r="AP382" s="104"/>
      <c r="AR382" s="104"/>
      <c r="AS382" s="43"/>
      <c r="AT382" s="104"/>
      <c r="AV382" s="104"/>
      <c r="AW382" s="102"/>
    </row>
    <row r="383" spans="14:49">
      <c r="N383" s="101"/>
      <c r="AN383" s="102"/>
      <c r="AO383" s="103"/>
      <c r="AP383" s="104"/>
      <c r="AR383" s="104"/>
      <c r="AS383" s="43"/>
      <c r="AT383" s="104"/>
      <c r="AV383" s="104"/>
      <c r="AW383" s="102"/>
    </row>
    <row r="384" spans="14:49">
      <c r="N384" s="101"/>
      <c r="AN384" s="102"/>
      <c r="AO384" s="103"/>
      <c r="AP384" s="104"/>
      <c r="AR384" s="104"/>
      <c r="AS384" s="43"/>
      <c r="AT384" s="104"/>
      <c r="AV384" s="104"/>
      <c r="AW384" s="102"/>
    </row>
    <row r="385" spans="14:49">
      <c r="N385" s="101"/>
      <c r="AN385" s="102"/>
      <c r="AO385" s="103"/>
      <c r="AP385" s="104"/>
      <c r="AR385" s="104"/>
      <c r="AS385" s="43"/>
      <c r="AT385" s="104"/>
      <c r="AV385" s="104"/>
      <c r="AW385" s="102"/>
    </row>
    <row r="386" spans="14:49">
      <c r="N386" s="101"/>
      <c r="AN386" s="102"/>
      <c r="AO386" s="103"/>
      <c r="AP386" s="104"/>
      <c r="AR386" s="104"/>
      <c r="AS386" s="43"/>
      <c r="AT386" s="104"/>
      <c r="AV386" s="104"/>
      <c r="AW386" s="102"/>
    </row>
    <row r="387" spans="14:49">
      <c r="N387" s="101"/>
      <c r="AN387" s="102"/>
      <c r="AO387" s="103"/>
      <c r="AP387" s="104"/>
      <c r="AR387" s="104"/>
      <c r="AS387" s="43"/>
      <c r="AT387" s="104"/>
      <c r="AV387" s="104"/>
      <c r="AW387" s="102"/>
    </row>
    <row r="388" spans="14:49">
      <c r="N388" s="101"/>
      <c r="AN388" s="102"/>
      <c r="AO388" s="103"/>
      <c r="AP388" s="104"/>
      <c r="AR388" s="104"/>
      <c r="AS388" s="43"/>
      <c r="AT388" s="104"/>
      <c r="AV388" s="104"/>
      <c r="AW388" s="102"/>
    </row>
    <row r="389" spans="14:49">
      <c r="N389" s="101"/>
      <c r="AN389" s="102"/>
      <c r="AO389" s="103"/>
      <c r="AP389" s="104"/>
      <c r="AR389" s="104"/>
      <c r="AS389" s="43"/>
      <c r="AT389" s="104"/>
      <c r="AV389" s="104"/>
      <c r="AW389" s="102"/>
    </row>
    <row r="390" spans="14:49">
      <c r="N390" s="101"/>
      <c r="AN390" s="102"/>
      <c r="AO390" s="103"/>
      <c r="AP390" s="104"/>
      <c r="AR390" s="104"/>
      <c r="AS390" s="43"/>
      <c r="AT390" s="104"/>
      <c r="AV390" s="104"/>
      <c r="AW390" s="102"/>
    </row>
    <row r="391" spans="14:49">
      <c r="N391" s="101"/>
      <c r="AN391" s="102"/>
      <c r="AO391" s="103"/>
      <c r="AP391" s="104"/>
      <c r="AR391" s="104"/>
      <c r="AS391" s="43"/>
      <c r="AT391" s="104"/>
      <c r="AV391" s="104"/>
      <c r="AW391" s="102"/>
    </row>
    <row r="392" spans="14:49">
      <c r="N392" s="101"/>
      <c r="AN392" s="102"/>
      <c r="AO392" s="103"/>
      <c r="AP392" s="104"/>
      <c r="AR392" s="104"/>
      <c r="AS392" s="43"/>
      <c r="AT392" s="104"/>
      <c r="AV392" s="104"/>
      <c r="AW392" s="102"/>
    </row>
    <row r="393" spans="14:49">
      <c r="N393" s="101"/>
      <c r="AN393" s="102"/>
      <c r="AO393" s="103"/>
      <c r="AP393" s="104"/>
      <c r="AR393" s="104"/>
      <c r="AS393" s="43"/>
      <c r="AT393" s="104"/>
      <c r="AV393" s="104"/>
      <c r="AW393" s="102"/>
    </row>
    <row r="394" spans="14:49">
      <c r="N394" s="101"/>
      <c r="AN394" s="102"/>
      <c r="AO394" s="103"/>
      <c r="AP394" s="104"/>
      <c r="AR394" s="104"/>
      <c r="AS394" s="43"/>
      <c r="AT394" s="104"/>
      <c r="AV394" s="104"/>
      <c r="AW394" s="102"/>
    </row>
    <row r="395" spans="14:49">
      <c r="N395" s="101"/>
      <c r="AN395" s="102"/>
      <c r="AO395" s="103"/>
      <c r="AP395" s="104"/>
      <c r="AR395" s="104"/>
      <c r="AS395" s="43"/>
      <c r="AT395" s="104"/>
      <c r="AV395" s="104"/>
      <c r="AW395" s="102"/>
    </row>
    <row r="396" spans="14:49">
      <c r="N396" s="101"/>
      <c r="AN396" s="102"/>
      <c r="AO396" s="103"/>
      <c r="AP396" s="104"/>
      <c r="AR396" s="104"/>
      <c r="AS396" s="43"/>
      <c r="AT396" s="104"/>
      <c r="AV396" s="104"/>
      <c r="AW396" s="102"/>
    </row>
    <row r="397" spans="14:49">
      <c r="N397" s="101"/>
      <c r="AN397" s="102"/>
      <c r="AO397" s="103"/>
      <c r="AP397" s="104"/>
      <c r="AR397" s="104"/>
      <c r="AS397" s="43"/>
      <c r="AT397" s="104"/>
      <c r="AV397" s="104"/>
      <c r="AW397" s="102"/>
    </row>
    <row r="398" spans="14:49">
      <c r="N398" s="101"/>
      <c r="AN398" s="102"/>
      <c r="AO398" s="103"/>
      <c r="AP398" s="104"/>
      <c r="AR398" s="104"/>
      <c r="AS398" s="43"/>
      <c r="AT398" s="104"/>
      <c r="AV398" s="104"/>
      <c r="AW398" s="102"/>
    </row>
    <row r="399" spans="14:49">
      <c r="N399" s="101"/>
      <c r="AN399" s="102"/>
      <c r="AO399" s="103"/>
      <c r="AP399" s="104"/>
      <c r="AR399" s="104"/>
      <c r="AS399" s="43"/>
      <c r="AT399" s="104"/>
      <c r="AV399" s="104"/>
      <c r="AW399" s="102"/>
    </row>
    <row r="400" spans="14:49">
      <c r="N400" s="101"/>
      <c r="AN400" s="102"/>
      <c r="AO400" s="103"/>
      <c r="AP400" s="104"/>
      <c r="AR400" s="104"/>
      <c r="AS400" s="43"/>
      <c r="AT400" s="104"/>
      <c r="AV400" s="104"/>
      <c r="AW400" s="102"/>
    </row>
    <row r="401" spans="14:49">
      <c r="N401" s="101"/>
      <c r="AN401" s="102"/>
      <c r="AO401" s="103"/>
      <c r="AP401" s="104"/>
      <c r="AR401" s="104"/>
      <c r="AS401" s="43"/>
      <c r="AT401" s="104"/>
      <c r="AV401" s="104"/>
      <c r="AW401" s="102"/>
    </row>
    <row r="402" spans="14:49">
      <c r="N402" s="101"/>
      <c r="AN402" s="102"/>
      <c r="AO402" s="103"/>
      <c r="AP402" s="104"/>
      <c r="AR402" s="104"/>
      <c r="AS402" s="43"/>
      <c r="AT402" s="104"/>
      <c r="AV402" s="104"/>
      <c r="AW402" s="102"/>
    </row>
    <row r="403" spans="14:49">
      <c r="N403" s="101"/>
      <c r="AN403" s="102"/>
      <c r="AO403" s="103"/>
      <c r="AP403" s="104"/>
      <c r="AR403" s="104"/>
      <c r="AS403" s="43"/>
      <c r="AT403" s="104"/>
      <c r="AV403" s="104"/>
      <c r="AW403" s="102"/>
    </row>
    <row r="404" spans="14:49">
      <c r="N404" s="101"/>
      <c r="AN404" s="102"/>
      <c r="AO404" s="103"/>
      <c r="AP404" s="104"/>
      <c r="AR404" s="104"/>
      <c r="AS404" s="43"/>
      <c r="AT404" s="104"/>
      <c r="AV404" s="104"/>
      <c r="AW404" s="102"/>
    </row>
    <row r="405" spans="14:49">
      <c r="N405" s="101"/>
      <c r="AN405" s="102"/>
      <c r="AO405" s="103"/>
      <c r="AP405" s="104"/>
      <c r="AR405" s="104"/>
      <c r="AS405" s="43"/>
      <c r="AT405" s="104"/>
      <c r="AV405" s="104"/>
      <c r="AW405" s="102"/>
    </row>
    <row r="406" spans="14:49">
      <c r="N406" s="101"/>
      <c r="AN406" s="102"/>
      <c r="AO406" s="103"/>
      <c r="AP406" s="104"/>
      <c r="AR406" s="104"/>
      <c r="AS406" s="43"/>
      <c r="AT406" s="104"/>
      <c r="AV406" s="104"/>
      <c r="AW406" s="102"/>
    </row>
    <row r="407" spans="14:49">
      <c r="N407" s="101"/>
      <c r="AN407" s="102"/>
      <c r="AO407" s="103"/>
      <c r="AP407" s="104"/>
      <c r="AR407" s="104"/>
      <c r="AS407" s="43"/>
      <c r="AT407" s="104"/>
      <c r="AV407" s="104"/>
      <c r="AW407" s="102"/>
    </row>
    <row r="408" spans="14:49">
      <c r="N408" s="101"/>
      <c r="AN408" s="102"/>
      <c r="AO408" s="103"/>
      <c r="AP408" s="104"/>
      <c r="AR408" s="104"/>
      <c r="AS408" s="43"/>
      <c r="AT408" s="104"/>
      <c r="AV408" s="104"/>
      <c r="AW408" s="102"/>
    </row>
    <row r="409" spans="14:49">
      <c r="N409" s="101"/>
      <c r="AN409" s="102"/>
      <c r="AO409" s="103"/>
      <c r="AP409" s="104"/>
      <c r="AR409" s="104"/>
      <c r="AS409" s="43"/>
      <c r="AT409" s="104"/>
      <c r="AV409" s="104"/>
      <c r="AW409" s="102"/>
    </row>
    <row r="410" spans="14:49">
      <c r="N410" s="101"/>
      <c r="AN410" s="102"/>
      <c r="AO410" s="103"/>
      <c r="AP410" s="104"/>
      <c r="AR410" s="104"/>
      <c r="AS410" s="43"/>
      <c r="AT410" s="104"/>
      <c r="AV410" s="104"/>
      <c r="AW410" s="102"/>
    </row>
    <row r="411" spans="14:49">
      <c r="N411" s="101"/>
      <c r="AN411" s="102"/>
      <c r="AO411" s="103"/>
      <c r="AP411" s="104"/>
      <c r="AR411" s="104"/>
      <c r="AS411" s="43"/>
      <c r="AT411" s="104"/>
      <c r="AV411" s="104"/>
      <c r="AW411" s="102"/>
    </row>
    <row r="412" spans="14:49">
      <c r="N412" s="101"/>
      <c r="Y412" s="78"/>
      <c r="AN412" s="102"/>
      <c r="AO412" s="103"/>
      <c r="AP412" s="104"/>
      <c r="AR412" s="104"/>
      <c r="AS412" s="43"/>
      <c r="AT412" s="104"/>
      <c r="AV412" s="104"/>
      <c r="AW412" s="102"/>
    </row>
    <row r="413" spans="14:49">
      <c r="N413" s="101"/>
      <c r="AN413" s="102"/>
      <c r="AO413" s="103"/>
      <c r="AP413" s="104"/>
      <c r="AR413" s="104"/>
      <c r="AS413" s="43"/>
      <c r="AT413" s="104"/>
      <c r="AV413" s="104"/>
      <c r="AW413" s="102"/>
    </row>
    <row r="414" spans="14:49">
      <c r="N414" s="101"/>
      <c r="AN414" s="102"/>
      <c r="AO414" s="103"/>
      <c r="AP414" s="104"/>
      <c r="AR414" s="104"/>
      <c r="AS414" s="43"/>
      <c r="AT414" s="104"/>
      <c r="AV414" s="104"/>
      <c r="AW414" s="102"/>
    </row>
    <row r="415" spans="14:49">
      <c r="N415" s="101"/>
      <c r="AN415" s="102"/>
      <c r="AO415" s="103"/>
      <c r="AP415" s="104"/>
      <c r="AR415" s="104"/>
      <c r="AS415" s="43"/>
      <c r="AT415" s="104"/>
      <c r="AV415" s="104"/>
      <c r="AW415" s="102"/>
    </row>
    <row r="416" spans="14:49">
      <c r="N416" s="101"/>
      <c r="AN416" s="102"/>
      <c r="AO416" s="103"/>
      <c r="AP416" s="104"/>
      <c r="AR416" s="104"/>
      <c r="AS416" s="43"/>
      <c r="AT416" s="104"/>
      <c r="AV416" s="104"/>
      <c r="AW416" s="102"/>
    </row>
    <row r="417" spans="14:49">
      <c r="N417" s="101"/>
      <c r="AN417" s="102"/>
      <c r="AO417" s="103"/>
      <c r="AP417" s="104"/>
      <c r="AR417" s="104"/>
      <c r="AS417" s="43"/>
      <c r="AT417" s="104"/>
      <c r="AV417" s="104"/>
      <c r="AW417" s="102"/>
    </row>
    <row r="418" spans="14:49">
      <c r="N418" s="101"/>
      <c r="AN418" s="102"/>
      <c r="AO418" s="103"/>
      <c r="AP418" s="104"/>
      <c r="AR418" s="104"/>
      <c r="AS418" s="43"/>
      <c r="AT418" s="104"/>
      <c r="AV418" s="104"/>
      <c r="AW418" s="102"/>
    </row>
    <row r="419" spans="14:49">
      <c r="N419" s="101"/>
      <c r="AN419" s="102"/>
      <c r="AO419" s="103"/>
      <c r="AP419" s="104"/>
      <c r="AR419" s="104"/>
      <c r="AS419" s="43"/>
      <c r="AT419" s="104"/>
      <c r="AV419" s="104"/>
      <c r="AW419" s="102"/>
    </row>
    <row r="420" spans="14:49">
      <c r="N420" s="101"/>
      <c r="AN420" s="102"/>
      <c r="AO420" s="103"/>
      <c r="AP420" s="104"/>
      <c r="AR420" s="104"/>
      <c r="AS420" s="43"/>
      <c r="AT420" s="104"/>
      <c r="AV420" s="104"/>
      <c r="AW420" s="102"/>
    </row>
    <row r="421" spans="14:49">
      <c r="N421" s="101"/>
      <c r="AN421" s="102"/>
      <c r="AO421" s="103"/>
      <c r="AP421" s="104"/>
      <c r="AR421" s="104"/>
      <c r="AS421" s="43"/>
      <c r="AT421" s="104"/>
      <c r="AV421" s="104"/>
      <c r="AW421" s="102"/>
    </row>
    <row r="422" spans="14:49">
      <c r="N422" s="101"/>
      <c r="AN422" s="102"/>
      <c r="AO422" s="103"/>
      <c r="AP422" s="104"/>
      <c r="AR422" s="104"/>
      <c r="AS422" s="43"/>
      <c r="AT422" s="104"/>
      <c r="AV422" s="104"/>
      <c r="AW422" s="102"/>
    </row>
    <row r="423" spans="14:49">
      <c r="N423" s="101"/>
      <c r="AN423" s="102"/>
      <c r="AO423" s="103"/>
      <c r="AP423" s="104"/>
      <c r="AR423" s="104"/>
      <c r="AS423" s="43"/>
      <c r="AT423" s="104"/>
      <c r="AV423" s="104"/>
      <c r="AW423" s="102"/>
    </row>
    <row r="424" spans="14:49">
      <c r="N424" s="101"/>
      <c r="AN424" s="102"/>
      <c r="AO424" s="103"/>
      <c r="AP424" s="104"/>
      <c r="AR424" s="104"/>
      <c r="AS424" s="43"/>
      <c r="AT424" s="104"/>
      <c r="AV424" s="104"/>
      <c r="AW424" s="102"/>
    </row>
    <row r="425" spans="14:49">
      <c r="N425" s="101"/>
      <c r="AN425" s="102"/>
      <c r="AO425" s="103"/>
      <c r="AP425" s="104"/>
      <c r="AR425" s="104"/>
      <c r="AS425" s="43"/>
      <c r="AT425" s="104"/>
      <c r="AV425" s="104"/>
      <c r="AW425" s="102"/>
    </row>
    <row r="426" spans="14:49">
      <c r="N426" s="101"/>
      <c r="AN426" s="102"/>
      <c r="AO426" s="103"/>
      <c r="AP426" s="104"/>
      <c r="AR426" s="104"/>
      <c r="AS426" s="43"/>
      <c r="AT426" s="104"/>
      <c r="AV426" s="104"/>
      <c r="AW426" s="102"/>
    </row>
    <row r="427" spans="14:49">
      <c r="N427" s="101"/>
      <c r="AN427" s="102"/>
      <c r="AO427" s="103"/>
      <c r="AP427" s="104"/>
      <c r="AR427" s="104"/>
      <c r="AS427" s="43"/>
      <c r="AT427" s="104"/>
      <c r="AV427" s="104"/>
      <c r="AW427" s="102"/>
    </row>
    <row r="428" spans="14:49">
      <c r="N428" s="101"/>
      <c r="AN428" s="102"/>
      <c r="AO428" s="103"/>
      <c r="AP428" s="104"/>
      <c r="AR428" s="104"/>
      <c r="AS428" s="43"/>
      <c r="AT428" s="104"/>
      <c r="AV428" s="104"/>
      <c r="AW428" s="102"/>
    </row>
    <row r="429" spans="14:49">
      <c r="N429" s="101"/>
      <c r="AN429" s="102"/>
      <c r="AO429" s="103"/>
      <c r="AP429" s="104"/>
      <c r="AR429" s="104"/>
      <c r="AS429" s="43"/>
      <c r="AT429" s="104"/>
      <c r="AV429" s="104"/>
      <c r="AW429" s="102"/>
    </row>
    <row r="430" spans="14:49">
      <c r="N430" s="101"/>
      <c r="AN430" s="102"/>
      <c r="AO430" s="103"/>
      <c r="AP430" s="104"/>
      <c r="AR430" s="104"/>
      <c r="AS430" s="43"/>
      <c r="AT430" s="104"/>
      <c r="AV430" s="104"/>
      <c r="AW430" s="102"/>
    </row>
    <row r="431" spans="14:49">
      <c r="N431" s="101"/>
      <c r="AN431" s="102"/>
      <c r="AO431" s="103"/>
      <c r="AP431" s="104"/>
      <c r="AR431" s="104"/>
      <c r="AS431" s="43"/>
      <c r="AT431" s="104"/>
      <c r="AV431" s="104"/>
      <c r="AW431" s="102"/>
    </row>
    <row r="432" spans="14:49">
      <c r="N432" s="101"/>
      <c r="AN432" s="102"/>
      <c r="AO432" s="103"/>
      <c r="AP432" s="104"/>
      <c r="AR432" s="104"/>
      <c r="AS432" s="43"/>
      <c r="AT432" s="104"/>
      <c r="AV432" s="104"/>
      <c r="AW432" s="102"/>
    </row>
    <row r="433" spans="14:49">
      <c r="N433" s="101"/>
      <c r="AN433" s="102"/>
      <c r="AO433" s="103"/>
      <c r="AP433" s="104"/>
      <c r="AR433" s="104"/>
      <c r="AS433" s="43"/>
      <c r="AT433" s="104"/>
      <c r="AV433" s="104"/>
      <c r="AW433" s="102"/>
    </row>
    <row r="434" spans="14:49">
      <c r="N434" s="101"/>
      <c r="AN434" s="102"/>
      <c r="AO434" s="103"/>
      <c r="AP434" s="104"/>
      <c r="AR434" s="104"/>
      <c r="AS434" s="43"/>
      <c r="AT434" s="104"/>
      <c r="AV434" s="104"/>
      <c r="AW434" s="102"/>
    </row>
    <row r="435" spans="14:49">
      <c r="N435" s="101"/>
      <c r="AN435" s="102"/>
      <c r="AO435" s="103"/>
      <c r="AP435" s="104"/>
      <c r="AR435" s="104"/>
      <c r="AS435" s="43"/>
      <c r="AT435" s="104"/>
      <c r="AV435" s="104"/>
      <c r="AW435" s="102"/>
    </row>
    <row r="436" spans="14:49">
      <c r="N436" s="101"/>
      <c r="AN436" s="102"/>
      <c r="AO436" s="103"/>
      <c r="AP436" s="104"/>
      <c r="AR436" s="104"/>
      <c r="AS436" s="43"/>
      <c r="AT436" s="104"/>
      <c r="AV436" s="104"/>
      <c r="AW436" s="102"/>
    </row>
    <row r="437" spans="14:49">
      <c r="N437" s="101"/>
      <c r="AN437" s="102"/>
      <c r="AO437" s="103"/>
      <c r="AP437" s="104"/>
      <c r="AR437" s="104"/>
      <c r="AS437" s="43"/>
      <c r="AT437" s="104"/>
      <c r="AV437" s="104"/>
      <c r="AW437" s="102"/>
    </row>
    <row r="438" spans="14:49">
      <c r="N438" s="101"/>
      <c r="AN438" s="102"/>
      <c r="AO438" s="103"/>
      <c r="AP438" s="104"/>
      <c r="AR438" s="104"/>
      <c r="AS438" s="43"/>
      <c r="AT438" s="104"/>
      <c r="AV438" s="104"/>
      <c r="AW438" s="102"/>
    </row>
    <row r="439" spans="14:49">
      <c r="N439" s="101"/>
      <c r="AN439" s="102"/>
      <c r="AO439" s="103"/>
      <c r="AP439" s="104"/>
      <c r="AR439" s="104"/>
      <c r="AS439" s="43"/>
      <c r="AT439" s="104"/>
      <c r="AV439" s="104"/>
      <c r="AW439" s="102"/>
    </row>
    <row r="440" spans="14:49">
      <c r="N440" s="101"/>
      <c r="AN440" s="102"/>
      <c r="AO440" s="103"/>
      <c r="AP440" s="104"/>
      <c r="AR440" s="104"/>
      <c r="AS440" s="43"/>
      <c r="AT440" s="104"/>
      <c r="AV440" s="104"/>
      <c r="AW440" s="102"/>
    </row>
    <row r="441" spans="14:49">
      <c r="N441" s="101"/>
      <c r="AN441" s="102"/>
      <c r="AO441" s="103"/>
      <c r="AP441" s="104"/>
      <c r="AR441" s="104"/>
      <c r="AS441" s="43"/>
      <c r="AT441" s="104"/>
      <c r="AV441" s="104"/>
      <c r="AW441" s="102"/>
    </row>
    <row r="442" spans="14:49">
      <c r="N442" s="101"/>
      <c r="AN442" s="102"/>
      <c r="AO442" s="103"/>
      <c r="AP442" s="104"/>
      <c r="AR442" s="104"/>
      <c r="AS442" s="43"/>
      <c r="AT442" s="104"/>
      <c r="AV442" s="104"/>
      <c r="AW442" s="102"/>
    </row>
    <row r="443" spans="14:49">
      <c r="N443" s="101"/>
      <c r="AN443" s="102"/>
      <c r="AO443" s="103"/>
      <c r="AP443" s="104"/>
      <c r="AR443" s="104"/>
      <c r="AS443" s="43"/>
      <c r="AT443" s="104"/>
      <c r="AV443" s="104"/>
      <c r="AW443" s="102"/>
    </row>
    <row r="444" spans="14:49">
      <c r="N444" s="101"/>
      <c r="AN444" s="102"/>
      <c r="AO444" s="103"/>
      <c r="AP444" s="104"/>
      <c r="AR444" s="104"/>
      <c r="AS444" s="43"/>
      <c r="AT444" s="104"/>
      <c r="AV444" s="104"/>
      <c r="AW444" s="102"/>
    </row>
    <row r="445" spans="14:49">
      <c r="N445" s="101"/>
      <c r="AN445" s="102"/>
      <c r="AO445" s="103"/>
      <c r="AP445" s="104"/>
      <c r="AR445" s="104"/>
      <c r="AS445" s="43"/>
      <c r="AT445" s="104"/>
      <c r="AV445" s="104"/>
      <c r="AW445" s="102"/>
    </row>
    <row r="446" spans="14:49">
      <c r="N446" s="101"/>
      <c r="AN446" s="102"/>
      <c r="AO446" s="103"/>
      <c r="AP446" s="104"/>
      <c r="AR446" s="104"/>
      <c r="AS446" s="43"/>
      <c r="AT446" s="104"/>
      <c r="AV446" s="104"/>
      <c r="AW446" s="102"/>
    </row>
    <row r="447" spans="14:49">
      <c r="N447" s="101"/>
      <c r="AN447" s="102"/>
      <c r="AO447" s="103"/>
      <c r="AP447" s="104"/>
      <c r="AR447" s="104"/>
      <c r="AS447" s="43"/>
      <c r="AT447" s="104"/>
      <c r="AV447" s="104"/>
      <c r="AW447" s="102"/>
    </row>
    <row r="448" spans="14:49">
      <c r="N448" s="101"/>
      <c r="AN448" s="102"/>
      <c r="AO448" s="103"/>
      <c r="AP448" s="104"/>
      <c r="AR448" s="104"/>
      <c r="AS448" s="43"/>
      <c r="AT448" s="104"/>
      <c r="AV448" s="104"/>
      <c r="AW448" s="102"/>
    </row>
    <row r="449" spans="14:49">
      <c r="N449" s="101"/>
      <c r="AN449" s="102"/>
      <c r="AO449" s="103"/>
      <c r="AP449" s="104"/>
      <c r="AR449" s="104"/>
      <c r="AS449" s="43"/>
      <c r="AT449" s="104"/>
      <c r="AV449" s="104"/>
      <c r="AW449" s="102"/>
    </row>
    <row r="450" spans="14:49">
      <c r="N450" s="101"/>
      <c r="AN450" s="102"/>
      <c r="AO450" s="103"/>
      <c r="AP450" s="104"/>
      <c r="AR450" s="104"/>
      <c r="AS450" s="43"/>
      <c r="AT450" s="104"/>
      <c r="AV450" s="104"/>
      <c r="AW450" s="102"/>
    </row>
    <row r="451" spans="14:49">
      <c r="N451" s="101"/>
      <c r="AN451" s="102"/>
      <c r="AO451" s="103"/>
      <c r="AP451" s="104"/>
      <c r="AR451" s="104"/>
      <c r="AS451" s="43"/>
      <c r="AT451" s="104"/>
      <c r="AV451" s="104"/>
      <c r="AW451" s="102"/>
    </row>
    <row r="452" spans="14:49">
      <c r="N452" s="101"/>
      <c r="AN452" s="102"/>
      <c r="AO452" s="103"/>
      <c r="AP452" s="104"/>
      <c r="AR452" s="104"/>
      <c r="AS452" s="43"/>
      <c r="AT452" s="104"/>
      <c r="AV452" s="104"/>
      <c r="AW452" s="102"/>
    </row>
    <row r="453" spans="14:49">
      <c r="N453" s="101"/>
      <c r="Y453" s="78"/>
      <c r="AN453" s="102"/>
      <c r="AO453" s="103"/>
      <c r="AP453" s="104"/>
      <c r="AR453" s="104"/>
      <c r="AS453" s="43"/>
      <c r="AT453" s="104"/>
      <c r="AV453" s="104"/>
      <c r="AW453" s="102"/>
    </row>
    <row r="454" spans="14:49">
      <c r="N454" s="101"/>
      <c r="AN454" s="102"/>
      <c r="AO454" s="103"/>
      <c r="AP454" s="104"/>
      <c r="AR454" s="104"/>
      <c r="AS454" s="43"/>
      <c r="AT454" s="104"/>
      <c r="AV454" s="104"/>
      <c r="AW454" s="102"/>
    </row>
    <row r="455" spans="14:49">
      <c r="N455" s="101"/>
      <c r="AN455" s="102"/>
      <c r="AO455" s="103"/>
      <c r="AP455" s="104"/>
      <c r="AR455" s="104"/>
      <c r="AS455" s="43"/>
      <c r="AT455" s="104"/>
      <c r="AV455" s="104"/>
      <c r="AW455" s="102"/>
    </row>
    <row r="456" spans="14:49">
      <c r="N456" s="101"/>
      <c r="AN456" s="102"/>
      <c r="AO456" s="103"/>
      <c r="AP456" s="104"/>
      <c r="AR456" s="104"/>
      <c r="AS456" s="43"/>
      <c r="AT456" s="104"/>
      <c r="AV456" s="104"/>
      <c r="AW456" s="102"/>
    </row>
    <row r="457" spans="14:49">
      <c r="N457" s="101"/>
      <c r="AN457" s="102"/>
      <c r="AO457" s="103"/>
      <c r="AP457" s="104"/>
      <c r="AR457" s="104"/>
      <c r="AS457" s="43"/>
      <c r="AT457" s="104"/>
      <c r="AV457" s="104"/>
      <c r="AW457" s="102"/>
    </row>
    <row r="458" spans="14:49">
      <c r="N458" s="101"/>
      <c r="AN458" s="102"/>
      <c r="AO458" s="103"/>
      <c r="AP458" s="104"/>
      <c r="AR458" s="104"/>
      <c r="AS458" s="43"/>
      <c r="AT458" s="104"/>
      <c r="AV458" s="104"/>
      <c r="AW458" s="102"/>
    </row>
    <row r="459" spans="14:49">
      <c r="N459" s="101"/>
      <c r="AN459" s="102"/>
      <c r="AO459" s="103"/>
      <c r="AP459" s="104"/>
      <c r="AR459" s="104"/>
      <c r="AS459" s="43"/>
      <c r="AT459" s="104"/>
      <c r="AV459" s="104"/>
      <c r="AW459" s="102"/>
    </row>
    <row r="460" spans="14:49">
      <c r="N460" s="101"/>
      <c r="AN460" s="102"/>
      <c r="AO460" s="103"/>
      <c r="AP460" s="104"/>
      <c r="AR460" s="104"/>
      <c r="AS460" s="43"/>
      <c r="AT460" s="104"/>
      <c r="AV460" s="104"/>
      <c r="AW460" s="102"/>
    </row>
    <row r="461" spans="14:49">
      <c r="N461" s="101"/>
      <c r="AN461" s="102"/>
      <c r="AO461" s="103"/>
      <c r="AP461" s="104"/>
      <c r="AR461" s="104"/>
      <c r="AS461" s="43"/>
      <c r="AT461" s="104"/>
      <c r="AV461" s="104"/>
      <c r="AW461" s="102"/>
    </row>
    <row r="462" spans="14:49">
      <c r="N462" s="101"/>
      <c r="AN462" s="102"/>
      <c r="AO462" s="103"/>
      <c r="AP462" s="104"/>
      <c r="AR462" s="104"/>
      <c r="AS462" s="43"/>
      <c r="AT462" s="104"/>
      <c r="AV462" s="104"/>
      <c r="AW462" s="102"/>
    </row>
    <row r="463" spans="14:49">
      <c r="N463" s="101"/>
      <c r="AN463" s="102"/>
      <c r="AO463" s="103"/>
      <c r="AP463" s="104"/>
      <c r="AR463" s="104"/>
      <c r="AS463" s="43"/>
      <c r="AT463" s="104"/>
      <c r="AV463" s="104"/>
      <c r="AW463" s="102"/>
    </row>
    <row r="464" spans="14:49">
      <c r="N464" s="101"/>
      <c r="AN464" s="102"/>
      <c r="AO464" s="103"/>
      <c r="AP464" s="104"/>
      <c r="AR464" s="104"/>
      <c r="AS464" s="43"/>
      <c r="AT464" s="104"/>
      <c r="AV464" s="104"/>
      <c r="AW464" s="102"/>
    </row>
    <row r="465" spans="14:49">
      <c r="N465" s="101"/>
      <c r="AN465" s="102"/>
      <c r="AO465" s="103"/>
      <c r="AP465" s="104"/>
      <c r="AR465" s="104"/>
      <c r="AS465" s="43"/>
      <c r="AT465" s="104"/>
      <c r="AV465" s="104"/>
      <c r="AW465" s="102"/>
    </row>
    <row r="466" spans="14:49">
      <c r="N466" s="101"/>
      <c r="AN466" s="102"/>
      <c r="AO466" s="103"/>
      <c r="AP466" s="104"/>
      <c r="AR466" s="104"/>
      <c r="AS466" s="43"/>
      <c r="AT466" s="104"/>
      <c r="AV466" s="104"/>
      <c r="AW466" s="102"/>
    </row>
    <row r="467" spans="14:49">
      <c r="N467" s="101"/>
      <c r="AN467" s="102"/>
      <c r="AO467" s="103"/>
      <c r="AP467" s="104"/>
      <c r="AR467" s="104"/>
      <c r="AS467" s="43"/>
      <c r="AT467" s="104"/>
      <c r="AV467" s="104"/>
      <c r="AW467" s="102"/>
    </row>
    <row r="468" spans="14:49">
      <c r="N468" s="101"/>
      <c r="AN468" s="102"/>
      <c r="AO468" s="103"/>
      <c r="AP468" s="104"/>
      <c r="AR468" s="104"/>
      <c r="AS468" s="43"/>
      <c r="AT468" s="104"/>
      <c r="AV468" s="104"/>
      <c r="AW468" s="102"/>
    </row>
    <row r="469" spans="14:49">
      <c r="N469" s="101"/>
      <c r="AN469" s="102"/>
      <c r="AO469" s="103"/>
      <c r="AP469" s="104"/>
      <c r="AR469" s="104"/>
      <c r="AS469" s="43"/>
      <c r="AT469" s="104"/>
      <c r="AV469" s="104"/>
      <c r="AW469" s="102"/>
    </row>
    <row r="470" spans="14:49">
      <c r="N470" s="101"/>
      <c r="AN470" s="102"/>
      <c r="AO470" s="103"/>
      <c r="AP470" s="104"/>
      <c r="AR470" s="104"/>
      <c r="AS470" s="43"/>
      <c r="AT470" s="104"/>
      <c r="AV470" s="104"/>
      <c r="AW470" s="102"/>
    </row>
    <row r="471" spans="14:49">
      <c r="N471" s="101"/>
      <c r="AN471" s="102"/>
      <c r="AO471" s="103"/>
      <c r="AP471" s="104"/>
      <c r="AR471" s="104"/>
      <c r="AS471" s="43"/>
      <c r="AT471" s="104"/>
      <c r="AV471" s="104"/>
      <c r="AW471" s="102"/>
    </row>
    <row r="472" spans="14:49">
      <c r="N472" s="101"/>
      <c r="AN472" s="102"/>
      <c r="AO472" s="103"/>
      <c r="AP472" s="104"/>
      <c r="AR472" s="104"/>
      <c r="AS472" s="43"/>
      <c r="AT472" s="104"/>
      <c r="AV472" s="104"/>
      <c r="AW472" s="102"/>
    </row>
    <row r="473" spans="14:49">
      <c r="N473" s="101"/>
      <c r="AN473" s="102"/>
      <c r="AO473" s="103"/>
      <c r="AP473" s="104"/>
      <c r="AR473" s="104"/>
      <c r="AS473" s="43"/>
      <c r="AT473" s="104"/>
      <c r="AV473" s="104"/>
      <c r="AW473" s="102"/>
    </row>
    <row r="474" spans="14:49">
      <c r="N474" s="101"/>
      <c r="AN474" s="102"/>
      <c r="AO474" s="103"/>
      <c r="AP474" s="104"/>
      <c r="AR474" s="104"/>
      <c r="AS474" s="43"/>
      <c r="AT474" s="104"/>
      <c r="AV474" s="104"/>
      <c r="AW474" s="102"/>
    </row>
    <row r="475" spans="14:49">
      <c r="N475" s="101"/>
      <c r="AN475" s="102"/>
      <c r="AO475" s="103"/>
      <c r="AP475" s="104"/>
      <c r="AR475" s="104"/>
      <c r="AS475" s="43"/>
      <c r="AT475" s="104"/>
      <c r="AV475" s="104"/>
      <c r="AW475" s="102"/>
    </row>
    <row r="476" spans="14:49">
      <c r="N476" s="101"/>
      <c r="AN476" s="102"/>
      <c r="AO476" s="103"/>
      <c r="AP476" s="104"/>
      <c r="AR476" s="104"/>
      <c r="AS476" s="43"/>
      <c r="AT476" s="104"/>
      <c r="AV476" s="104"/>
      <c r="AW476" s="102"/>
    </row>
    <row r="477" spans="14:49">
      <c r="N477" s="101"/>
      <c r="AN477" s="102"/>
      <c r="AO477" s="103"/>
      <c r="AP477" s="104"/>
      <c r="AR477" s="104"/>
      <c r="AS477" s="43"/>
      <c r="AT477" s="104"/>
      <c r="AV477" s="104"/>
      <c r="AW477" s="102"/>
    </row>
    <row r="478" spans="14:49">
      <c r="N478" s="101"/>
      <c r="AN478" s="102"/>
      <c r="AO478" s="103"/>
      <c r="AP478" s="104"/>
      <c r="AR478" s="104"/>
      <c r="AS478" s="43"/>
      <c r="AT478" s="104"/>
      <c r="AV478" s="104"/>
      <c r="AW478" s="102"/>
    </row>
    <row r="479" spans="14:49">
      <c r="N479" s="101"/>
      <c r="AN479" s="102"/>
      <c r="AO479" s="103"/>
      <c r="AP479" s="104"/>
      <c r="AR479" s="104"/>
      <c r="AS479" s="43"/>
      <c r="AT479" s="104"/>
      <c r="AV479" s="104"/>
      <c r="AW479" s="102"/>
    </row>
    <row r="480" spans="14:49">
      <c r="N480" s="101"/>
      <c r="AN480" s="102"/>
      <c r="AO480" s="103"/>
      <c r="AP480" s="104"/>
      <c r="AR480" s="104"/>
      <c r="AS480" s="43"/>
      <c r="AT480" s="104"/>
      <c r="AV480" s="104"/>
      <c r="AW480" s="102"/>
    </row>
    <row r="481" spans="14:49">
      <c r="N481" s="101"/>
      <c r="AN481" s="102"/>
      <c r="AO481" s="103"/>
      <c r="AP481" s="104"/>
      <c r="AR481" s="104"/>
      <c r="AS481" s="43"/>
      <c r="AT481" s="104"/>
      <c r="AV481" s="104"/>
      <c r="AW481" s="102"/>
    </row>
    <row r="482" spans="14:49">
      <c r="N482" s="101"/>
      <c r="AN482" s="102"/>
      <c r="AO482" s="103"/>
      <c r="AP482" s="104"/>
      <c r="AR482" s="104"/>
      <c r="AS482" s="43"/>
      <c r="AT482" s="104"/>
      <c r="AV482" s="104"/>
      <c r="AW482" s="102"/>
    </row>
    <row r="483" spans="14:49">
      <c r="N483" s="101"/>
      <c r="AN483" s="102"/>
      <c r="AO483" s="103"/>
      <c r="AP483" s="104"/>
      <c r="AR483" s="104"/>
      <c r="AS483" s="43"/>
      <c r="AT483" s="104"/>
      <c r="AV483" s="104"/>
      <c r="AW483" s="102"/>
    </row>
    <row r="484" spans="14:49">
      <c r="N484" s="101"/>
      <c r="AN484" s="102"/>
      <c r="AO484" s="103"/>
      <c r="AP484" s="104"/>
      <c r="AR484" s="104"/>
      <c r="AS484" s="43"/>
      <c r="AT484" s="104"/>
      <c r="AV484" s="104"/>
      <c r="AW484" s="102"/>
    </row>
    <row r="485" spans="14:49">
      <c r="N485" s="101"/>
      <c r="AN485" s="102"/>
      <c r="AO485" s="103"/>
      <c r="AP485" s="104"/>
      <c r="AR485" s="104"/>
      <c r="AS485" s="43"/>
      <c r="AT485" s="104"/>
      <c r="AV485" s="104"/>
      <c r="AW485" s="102"/>
    </row>
    <row r="486" spans="14:49">
      <c r="N486" s="101"/>
      <c r="AN486" s="102"/>
      <c r="AO486" s="103"/>
      <c r="AP486" s="104"/>
      <c r="AR486" s="104"/>
      <c r="AS486" s="43"/>
      <c r="AT486" s="104"/>
      <c r="AV486" s="104"/>
      <c r="AW486" s="102"/>
    </row>
    <row r="487" spans="14:49">
      <c r="N487" s="101"/>
      <c r="AN487" s="102"/>
      <c r="AO487" s="103"/>
      <c r="AP487" s="104"/>
      <c r="AR487" s="104"/>
      <c r="AS487" s="43"/>
      <c r="AT487" s="104"/>
      <c r="AV487" s="104"/>
      <c r="AW487" s="102"/>
    </row>
    <row r="488" spans="14:49">
      <c r="N488" s="101"/>
      <c r="AN488" s="102"/>
      <c r="AO488" s="103"/>
      <c r="AP488" s="104"/>
      <c r="AR488" s="104"/>
      <c r="AS488" s="43"/>
      <c r="AT488" s="104"/>
      <c r="AV488" s="104"/>
      <c r="AW488" s="102"/>
    </row>
    <row r="489" spans="14:49">
      <c r="N489" s="101"/>
      <c r="AN489" s="102"/>
      <c r="AO489" s="103"/>
      <c r="AP489" s="104"/>
      <c r="AR489" s="104"/>
      <c r="AS489" s="43"/>
      <c r="AT489" s="104"/>
      <c r="AV489" s="104"/>
      <c r="AW489" s="102"/>
    </row>
    <row r="490" spans="14:49">
      <c r="N490" s="101"/>
      <c r="AN490" s="102"/>
      <c r="AO490" s="103"/>
      <c r="AP490" s="104"/>
      <c r="AR490" s="104"/>
      <c r="AS490" s="43"/>
      <c r="AT490" s="104"/>
      <c r="AV490" s="104"/>
      <c r="AW490" s="102"/>
    </row>
    <row r="491" spans="14:49">
      <c r="N491" s="101"/>
      <c r="AN491" s="102"/>
      <c r="AO491" s="103"/>
      <c r="AP491" s="104"/>
      <c r="AR491" s="104"/>
      <c r="AS491" s="43"/>
      <c r="AT491" s="104"/>
      <c r="AV491" s="104"/>
      <c r="AW491" s="102"/>
    </row>
    <row r="492" spans="14:49">
      <c r="N492" s="101"/>
      <c r="AN492" s="102"/>
      <c r="AO492" s="103"/>
      <c r="AP492" s="104"/>
      <c r="AR492" s="104"/>
      <c r="AS492" s="43"/>
      <c r="AT492" s="104"/>
      <c r="AV492" s="104"/>
      <c r="AW492" s="102"/>
    </row>
    <row r="493" spans="14:49">
      <c r="N493" s="101"/>
      <c r="AN493" s="102"/>
      <c r="AO493" s="103"/>
      <c r="AP493" s="104"/>
      <c r="AR493" s="104"/>
      <c r="AS493" s="43"/>
      <c r="AT493" s="104"/>
      <c r="AV493" s="104"/>
      <c r="AW493" s="102"/>
    </row>
    <row r="494" spans="14:49">
      <c r="N494" s="101"/>
      <c r="Y494" s="78"/>
      <c r="AN494" s="102"/>
      <c r="AO494" s="103"/>
      <c r="AP494" s="104"/>
      <c r="AR494" s="104"/>
      <c r="AS494" s="43"/>
      <c r="AT494" s="104"/>
      <c r="AV494" s="104"/>
      <c r="AW494" s="102"/>
    </row>
    <row r="495" spans="14:49">
      <c r="N495" s="101"/>
      <c r="AN495" s="102"/>
      <c r="AO495" s="103"/>
      <c r="AP495" s="104"/>
      <c r="AR495" s="104"/>
      <c r="AS495" s="43"/>
      <c r="AT495" s="104"/>
      <c r="AV495" s="104"/>
      <c r="AW495" s="102"/>
    </row>
    <row r="496" spans="14:49">
      <c r="N496" s="101"/>
      <c r="AN496" s="102"/>
      <c r="AO496" s="103"/>
      <c r="AP496" s="104"/>
      <c r="AR496" s="104"/>
      <c r="AS496" s="43"/>
      <c r="AT496" s="104"/>
      <c r="AV496" s="104"/>
      <c r="AW496" s="102"/>
    </row>
    <row r="497" spans="14:49">
      <c r="N497" s="101"/>
      <c r="AN497" s="102"/>
      <c r="AO497" s="103"/>
      <c r="AP497" s="104"/>
      <c r="AR497" s="104"/>
      <c r="AS497" s="43"/>
      <c r="AT497" s="104"/>
      <c r="AV497" s="104"/>
      <c r="AW497" s="102"/>
    </row>
    <row r="498" spans="14:49">
      <c r="N498" s="101"/>
      <c r="AN498" s="102"/>
      <c r="AO498" s="103"/>
      <c r="AP498" s="104"/>
      <c r="AR498" s="104"/>
      <c r="AS498" s="43"/>
      <c r="AT498" s="104"/>
      <c r="AV498" s="104"/>
      <c r="AW498" s="102"/>
    </row>
    <row r="499" spans="14:49">
      <c r="N499" s="101"/>
      <c r="AN499" s="102"/>
      <c r="AO499" s="103"/>
      <c r="AP499" s="104"/>
      <c r="AR499" s="104"/>
      <c r="AS499" s="43"/>
      <c r="AT499" s="104"/>
      <c r="AV499" s="104"/>
      <c r="AW499" s="102"/>
    </row>
    <row r="500" spans="14:49">
      <c r="N500" s="101"/>
      <c r="AN500" s="102"/>
      <c r="AO500" s="103"/>
      <c r="AP500" s="104"/>
      <c r="AR500" s="104"/>
      <c r="AS500" s="43"/>
      <c r="AT500" s="104"/>
      <c r="AV500" s="104"/>
      <c r="AW500" s="102"/>
    </row>
    <row r="501" spans="14:49">
      <c r="N501" s="101"/>
      <c r="AN501" s="102"/>
      <c r="AO501" s="103"/>
      <c r="AP501" s="104"/>
      <c r="AR501" s="104"/>
      <c r="AS501" s="43"/>
      <c r="AT501" s="104"/>
      <c r="AV501" s="104"/>
      <c r="AW501" s="102"/>
    </row>
    <row r="502" spans="14:49">
      <c r="N502" s="101"/>
      <c r="AN502" s="102"/>
      <c r="AO502" s="103"/>
      <c r="AP502" s="104"/>
      <c r="AR502" s="104"/>
      <c r="AS502" s="43"/>
      <c r="AT502" s="104"/>
      <c r="AV502" s="104"/>
      <c r="AW502" s="102"/>
    </row>
    <row r="503" spans="14:49">
      <c r="N503" s="101"/>
      <c r="AN503" s="102"/>
      <c r="AO503" s="103"/>
      <c r="AP503" s="104"/>
      <c r="AR503" s="104"/>
      <c r="AS503" s="43"/>
      <c r="AT503" s="104"/>
      <c r="AV503" s="104"/>
      <c r="AW503" s="102"/>
    </row>
    <row r="504" spans="14:49">
      <c r="N504" s="101"/>
      <c r="AN504" s="102"/>
      <c r="AO504" s="103"/>
      <c r="AP504" s="104"/>
      <c r="AR504" s="104"/>
      <c r="AS504" s="43"/>
      <c r="AT504" s="104"/>
      <c r="AV504" s="104"/>
      <c r="AW504" s="102"/>
    </row>
    <row r="505" spans="14:49">
      <c r="N505" s="101"/>
      <c r="AN505" s="102"/>
      <c r="AO505" s="103"/>
      <c r="AP505" s="104"/>
      <c r="AR505" s="104"/>
      <c r="AS505" s="43"/>
      <c r="AT505" s="104"/>
      <c r="AV505" s="104"/>
      <c r="AW505" s="102"/>
    </row>
    <row r="506" spans="14:49">
      <c r="N506" s="101"/>
      <c r="AN506" s="102"/>
      <c r="AO506" s="103"/>
      <c r="AP506" s="104"/>
      <c r="AR506" s="104"/>
      <c r="AS506" s="43"/>
      <c r="AT506" s="104"/>
      <c r="AV506" s="104"/>
      <c r="AW506" s="102"/>
    </row>
    <row r="507" spans="14:49">
      <c r="N507" s="101"/>
      <c r="AN507" s="102"/>
      <c r="AO507" s="103"/>
      <c r="AP507" s="104"/>
      <c r="AR507" s="104"/>
      <c r="AS507" s="43"/>
      <c r="AT507" s="104"/>
      <c r="AV507" s="104"/>
      <c r="AW507" s="102"/>
    </row>
    <row r="508" spans="14:49">
      <c r="N508" s="101"/>
      <c r="AN508" s="102"/>
      <c r="AO508" s="103"/>
      <c r="AP508" s="104"/>
      <c r="AR508" s="104"/>
      <c r="AS508" s="43"/>
      <c r="AT508" s="104"/>
      <c r="AV508" s="104"/>
      <c r="AW508" s="102"/>
    </row>
    <row r="509" spans="14:49">
      <c r="N509" s="101"/>
      <c r="AN509" s="102"/>
      <c r="AO509" s="103"/>
      <c r="AP509" s="104"/>
      <c r="AR509" s="104"/>
      <c r="AS509" s="43"/>
      <c r="AT509" s="104"/>
      <c r="AV509" s="104"/>
      <c r="AW509" s="102"/>
    </row>
    <row r="510" spans="14:49">
      <c r="N510" s="101"/>
      <c r="AN510" s="102"/>
      <c r="AO510" s="103"/>
      <c r="AP510" s="104"/>
      <c r="AR510" s="104"/>
      <c r="AS510" s="43"/>
      <c r="AT510" s="104"/>
      <c r="AV510" s="104"/>
      <c r="AW510" s="102"/>
    </row>
    <row r="511" spans="14:49">
      <c r="N511" s="101"/>
      <c r="AN511" s="102"/>
      <c r="AO511" s="103"/>
      <c r="AP511" s="104"/>
      <c r="AR511" s="104"/>
      <c r="AS511" s="43"/>
      <c r="AT511" s="104"/>
      <c r="AV511" s="104"/>
      <c r="AW511" s="102"/>
    </row>
    <row r="512" spans="14:49">
      <c r="N512" s="101"/>
      <c r="AN512" s="102"/>
      <c r="AO512" s="103"/>
      <c r="AP512" s="104"/>
      <c r="AR512" s="104"/>
      <c r="AS512" s="43"/>
      <c r="AT512" s="104"/>
      <c r="AV512" s="104"/>
      <c r="AW512" s="102"/>
    </row>
    <row r="513" spans="14:49">
      <c r="N513" s="101"/>
      <c r="AN513" s="102"/>
      <c r="AO513" s="103"/>
      <c r="AP513" s="104"/>
      <c r="AR513" s="104"/>
      <c r="AS513" s="43"/>
      <c r="AT513" s="104"/>
      <c r="AV513" s="104"/>
      <c r="AW513" s="102"/>
    </row>
    <row r="514" spans="14:49">
      <c r="N514" s="101"/>
      <c r="AN514" s="102"/>
      <c r="AO514" s="103"/>
      <c r="AP514" s="104"/>
      <c r="AR514" s="104"/>
      <c r="AS514" s="43"/>
      <c r="AT514" s="104"/>
      <c r="AV514" s="104"/>
      <c r="AW514" s="102"/>
    </row>
    <row r="515" spans="14:49">
      <c r="N515" s="101"/>
      <c r="AN515" s="102"/>
      <c r="AO515" s="103"/>
      <c r="AP515" s="104"/>
      <c r="AR515" s="104"/>
      <c r="AS515" s="43"/>
      <c r="AT515" s="104"/>
      <c r="AV515" s="104"/>
      <c r="AW515" s="102"/>
    </row>
    <row r="516" spans="14:49">
      <c r="N516" s="101"/>
      <c r="AN516" s="102"/>
      <c r="AO516" s="103"/>
      <c r="AP516" s="104"/>
      <c r="AR516" s="104"/>
      <c r="AS516" s="43"/>
      <c r="AT516" s="104"/>
      <c r="AV516" s="104"/>
      <c r="AW516" s="102"/>
    </row>
    <row r="517" spans="14:49">
      <c r="N517" s="101"/>
      <c r="AN517" s="102"/>
      <c r="AO517" s="103"/>
      <c r="AP517" s="104"/>
      <c r="AR517" s="104"/>
      <c r="AS517" s="43"/>
      <c r="AT517" s="104"/>
      <c r="AV517" s="104"/>
      <c r="AW517" s="102"/>
    </row>
    <row r="518" spans="14:49">
      <c r="N518" s="101"/>
      <c r="AN518" s="102"/>
      <c r="AO518" s="103"/>
      <c r="AP518" s="104"/>
      <c r="AR518" s="104"/>
      <c r="AS518" s="43"/>
      <c r="AT518" s="104"/>
      <c r="AV518" s="104"/>
      <c r="AW518" s="102"/>
    </row>
    <row r="519" spans="14:49">
      <c r="N519" s="101"/>
      <c r="AN519" s="102"/>
      <c r="AO519" s="103"/>
      <c r="AP519" s="104"/>
      <c r="AR519" s="104"/>
      <c r="AS519" s="43"/>
      <c r="AT519" s="104"/>
      <c r="AV519" s="104"/>
      <c r="AW519" s="102"/>
    </row>
    <row r="520" spans="14:49">
      <c r="N520" s="101"/>
      <c r="AN520" s="102"/>
      <c r="AO520" s="103"/>
      <c r="AP520" s="104"/>
      <c r="AR520" s="104"/>
      <c r="AS520" s="43"/>
      <c r="AT520" s="104"/>
      <c r="AV520" s="104"/>
      <c r="AW520" s="102"/>
    </row>
    <row r="521" spans="14:49">
      <c r="N521" s="101"/>
      <c r="AN521" s="102"/>
      <c r="AO521" s="103"/>
      <c r="AP521" s="104"/>
      <c r="AR521" s="104"/>
      <c r="AS521" s="43"/>
      <c r="AT521" s="104"/>
      <c r="AV521" s="104"/>
      <c r="AW521" s="102"/>
    </row>
    <row r="522" spans="14:49">
      <c r="N522" s="101"/>
      <c r="AN522" s="102"/>
      <c r="AO522" s="103"/>
      <c r="AP522" s="104"/>
      <c r="AR522" s="104"/>
      <c r="AS522" s="43"/>
      <c r="AT522" s="104"/>
      <c r="AV522" s="104"/>
      <c r="AW522" s="102"/>
    </row>
    <row r="523" spans="14:49">
      <c r="N523" s="101"/>
      <c r="AN523" s="102"/>
      <c r="AO523" s="103"/>
      <c r="AP523" s="104"/>
      <c r="AR523" s="104"/>
      <c r="AS523" s="43"/>
      <c r="AT523" s="104"/>
      <c r="AV523" s="104"/>
      <c r="AW523" s="102"/>
    </row>
    <row r="524" spans="14:49">
      <c r="N524" s="101"/>
      <c r="AN524" s="102"/>
      <c r="AO524" s="103"/>
      <c r="AP524" s="104"/>
      <c r="AR524" s="104"/>
      <c r="AS524" s="43"/>
      <c r="AT524" s="104"/>
      <c r="AV524" s="104"/>
      <c r="AW524" s="102"/>
    </row>
    <row r="525" spans="14:49">
      <c r="N525" s="101"/>
      <c r="AN525" s="102"/>
      <c r="AO525" s="103"/>
      <c r="AP525" s="104"/>
      <c r="AR525" s="104"/>
      <c r="AS525" s="43"/>
      <c r="AT525" s="104"/>
      <c r="AV525" s="104"/>
      <c r="AW525" s="102"/>
    </row>
    <row r="526" spans="14:49">
      <c r="N526" s="101"/>
      <c r="AN526" s="102"/>
      <c r="AO526" s="103"/>
      <c r="AP526" s="104"/>
      <c r="AR526" s="104"/>
      <c r="AS526" s="43"/>
      <c r="AT526" s="104"/>
      <c r="AV526" s="104"/>
      <c r="AW526" s="102"/>
    </row>
    <row r="527" spans="14:49">
      <c r="N527" s="101"/>
      <c r="AN527" s="102"/>
      <c r="AO527" s="103"/>
      <c r="AP527" s="104"/>
      <c r="AR527" s="104"/>
      <c r="AS527" s="43"/>
      <c r="AT527" s="104"/>
      <c r="AV527" s="104"/>
      <c r="AW527" s="102"/>
    </row>
    <row r="528" spans="14:49">
      <c r="N528" s="101"/>
      <c r="AN528" s="102"/>
      <c r="AO528" s="103"/>
      <c r="AP528" s="104"/>
      <c r="AR528" s="104"/>
      <c r="AS528" s="43"/>
      <c r="AT528" s="104"/>
      <c r="AV528" s="104"/>
      <c r="AW528" s="102"/>
    </row>
    <row r="529" spans="14:49">
      <c r="N529" s="101"/>
      <c r="AN529" s="102"/>
      <c r="AO529" s="103"/>
      <c r="AP529" s="104"/>
      <c r="AR529" s="104"/>
      <c r="AS529" s="43"/>
      <c r="AT529" s="104"/>
      <c r="AV529" s="104"/>
      <c r="AW529" s="102"/>
    </row>
    <row r="530" spans="14:49">
      <c r="N530" s="101"/>
      <c r="AN530" s="102"/>
      <c r="AO530" s="103"/>
      <c r="AP530" s="104"/>
      <c r="AR530" s="104"/>
      <c r="AS530" s="43"/>
      <c r="AT530" s="104"/>
      <c r="AV530" s="104"/>
      <c r="AW530" s="102"/>
    </row>
    <row r="531" spans="14:49">
      <c r="N531" s="101"/>
      <c r="AN531" s="102"/>
      <c r="AO531" s="103"/>
      <c r="AP531" s="104"/>
      <c r="AR531" s="104"/>
      <c r="AS531" s="43"/>
      <c r="AT531" s="104"/>
      <c r="AV531" s="104"/>
      <c r="AW531" s="102"/>
    </row>
    <row r="532" spans="14:49">
      <c r="N532" s="101"/>
      <c r="AN532" s="102"/>
      <c r="AO532" s="103"/>
      <c r="AP532" s="104"/>
      <c r="AR532" s="104"/>
      <c r="AS532" s="43"/>
      <c r="AT532" s="104"/>
      <c r="AV532" s="104"/>
      <c r="AW532" s="102"/>
    </row>
    <row r="533" spans="14:49">
      <c r="N533" s="101"/>
      <c r="AN533" s="102"/>
      <c r="AO533" s="103"/>
      <c r="AP533" s="104"/>
      <c r="AR533" s="104"/>
      <c r="AS533" s="43"/>
      <c r="AT533" s="104"/>
      <c r="AV533" s="104"/>
      <c r="AW533" s="102"/>
    </row>
    <row r="534" spans="14:49">
      <c r="N534" s="101"/>
      <c r="AN534" s="102"/>
      <c r="AO534" s="103"/>
      <c r="AP534" s="104"/>
      <c r="AR534" s="104"/>
      <c r="AS534" s="43"/>
      <c r="AT534" s="104"/>
      <c r="AV534" s="104"/>
      <c r="AW534" s="102"/>
    </row>
    <row r="535" spans="14:49">
      <c r="N535" s="101"/>
      <c r="Y535" s="78"/>
      <c r="AN535" s="102"/>
      <c r="AO535" s="103"/>
      <c r="AP535" s="104"/>
      <c r="AR535" s="104"/>
      <c r="AS535" s="43"/>
      <c r="AT535" s="104"/>
      <c r="AV535" s="104"/>
      <c r="AW535" s="102"/>
    </row>
    <row r="536" spans="14:49">
      <c r="N536" s="101"/>
      <c r="AN536" s="102"/>
      <c r="AO536" s="103"/>
      <c r="AP536" s="104"/>
      <c r="AR536" s="104"/>
      <c r="AS536" s="43"/>
      <c r="AT536" s="104"/>
      <c r="AV536" s="104"/>
      <c r="AW536" s="102"/>
    </row>
    <row r="537" spans="14:49">
      <c r="N537" s="101"/>
      <c r="AN537" s="102"/>
      <c r="AO537" s="103"/>
      <c r="AP537" s="104"/>
      <c r="AR537" s="104"/>
      <c r="AS537" s="43"/>
      <c r="AT537" s="104"/>
      <c r="AV537" s="104"/>
      <c r="AW537" s="102"/>
    </row>
    <row r="538" spans="14:49">
      <c r="N538" s="101"/>
      <c r="AN538" s="102"/>
      <c r="AO538" s="103"/>
      <c r="AP538" s="104"/>
      <c r="AR538" s="104"/>
      <c r="AS538" s="43"/>
      <c r="AT538" s="104"/>
      <c r="AV538" s="104"/>
      <c r="AW538" s="102"/>
    </row>
    <row r="539" spans="14:49">
      <c r="N539" s="101"/>
      <c r="AN539" s="102"/>
      <c r="AO539" s="103"/>
      <c r="AP539" s="104"/>
      <c r="AR539" s="104"/>
      <c r="AS539" s="43"/>
      <c r="AT539" s="104"/>
      <c r="AV539" s="104"/>
      <c r="AW539" s="102"/>
    </row>
    <row r="540" spans="14:49">
      <c r="N540" s="101"/>
      <c r="AN540" s="102"/>
      <c r="AO540" s="103"/>
      <c r="AP540" s="104"/>
      <c r="AR540" s="104"/>
      <c r="AS540" s="43"/>
      <c r="AT540" s="104"/>
      <c r="AV540" s="104"/>
      <c r="AW540" s="102"/>
    </row>
    <row r="541" spans="14:49">
      <c r="N541" s="101"/>
      <c r="AN541" s="102"/>
      <c r="AO541" s="103"/>
      <c r="AP541" s="104"/>
      <c r="AR541" s="104"/>
      <c r="AS541" s="43"/>
      <c r="AT541" s="104"/>
      <c r="AV541" s="104"/>
      <c r="AW541" s="102"/>
    </row>
    <row r="542" spans="14:49">
      <c r="N542" s="101"/>
      <c r="AN542" s="102"/>
      <c r="AO542" s="103"/>
      <c r="AP542" s="104"/>
      <c r="AR542" s="104"/>
      <c r="AS542" s="43"/>
      <c r="AT542" s="104"/>
      <c r="AV542" s="104"/>
      <c r="AW542" s="102"/>
    </row>
    <row r="543" spans="14:49">
      <c r="N543" s="101"/>
      <c r="AN543" s="102"/>
      <c r="AO543" s="103"/>
      <c r="AP543" s="104"/>
      <c r="AR543" s="104"/>
      <c r="AS543" s="43"/>
      <c r="AT543" s="104"/>
      <c r="AV543" s="104"/>
      <c r="AW543" s="102"/>
    </row>
    <row r="544" spans="14:49">
      <c r="N544" s="101"/>
      <c r="AN544" s="102"/>
      <c r="AO544" s="103"/>
      <c r="AP544" s="104"/>
      <c r="AR544" s="104"/>
      <c r="AS544" s="43"/>
      <c r="AT544" s="104"/>
      <c r="AV544" s="104"/>
      <c r="AW544" s="102"/>
    </row>
    <row r="545" spans="14:49">
      <c r="N545" s="101"/>
      <c r="AN545" s="102"/>
      <c r="AO545" s="103"/>
      <c r="AP545" s="104"/>
      <c r="AR545" s="104"/>
      <c r="AS545" s="43"/>
      <c r="AT545" s="104"/>
      <c r="AV545" s="104"/>
      <c r="AW545" s="102"/>
    </row>
    <row r="546" spans="14:49">
      <c r="N546" s="101"/>
      <c r="AN546" s="102"/>
      <c r="AO546" s="103"/>
      <c r="AP546" s="104"/>
      <c r="AR546" s="104"/>
      <c r="AS546" s="43"/>
      <c r="AT546" s="104"/>
      <c r="AV546" s="104"/>
      <c r="AW546" s="102"/>
    </row>
    <row r="547" spans="14:49">
      <c r="N547" s="101"/>
      <c r="AN547" s="102"/>
      <c r="AO547" s="103"/>
      <c r="AP547" s="104"/>
      <c r="AR547" s="104"/>
      <c r="AS547" s="43"/>
      <c r="AT547" s="104"/>
      <c r="AV547" s="104"/>
      <c r="AW547" s="102"/>
    </row>
    <row r="548" spans="14:49">
      <c r="N548" s="101"/>
      <c r="AN548" s="102"/>
      <c r="AO548" s="103"/>
      <c r="AP548" s="104"/>
      <c r="AR548" s="104"/>
      <c r="AS548" s="43"/>
      <c r="AT548" s="104"/>
      <c r="AV548" s="104"/>
      <c r="AW548" s="102"/>
    </row>
    <row r="549" spans="14:49">
      <c r="N549" s="101"/>
      <c r="AN549" s="102"/>
      <c r="AO549" s="103"/>
      <c r="AP549" s="104"/>
      <c r="AR549" s="104"/>
      <c r="AS549" s="43"/>
      <c r="AT549" s="104"/>
      <c r="AV549" s="104"/>
      <c r="AW549" s="102"/>
    </row>
    <row r="550" spans="14:49">
      <c r="N550" s="101"/>
      <c r="AN550" s="102"/>
      <c r="AO550" s="103"/>
      <c r="AP550" s="104"/>
      <c r="AR550" s="104"/>
      <c r="AS550" s="43"/>
      <c r="AT550" s="104"/>
      <c r="AV550" s="104"/>
      <c r="AW550" s="102"/>
    </row>
    <row r="551" spans="14:49">
      <c r="N551" s="101"/>
      <c r="AN551" s="102"/>
      <c r="AO551" s="103"/>
      <c r="AP551" s="104"/>
      <c r="AR551" s="104"/>
      <c r="AS551" s="43"/>
      <c r="AT551" s="104"/>
      <c r="AV551" s="104"/>
      <c r="AW551" s="102"/>
    </row>
    <row r="552" spans="14:49">
      <c r="N552" s="101"/>
      <c r="AN552" s="102"/>
      <c r="AO552" s="103"/>
      <c r="AP552" s="104"/>
      <c r="AR552" s="104"/>
      <c r="AS552" s="43"/>
      <c r="AT552" s="104"/>
      <c r="AV552" s="104"/>
      <c r="AW552" s="102"/>
    </row>
    <row r="553" spans="14:49">
      <c r="N553" s="101"/>
      <c r="AN553" s="102"/>
      <c r="AO553" s="103"/>
      <c r="AP553" s="104"/>
      <c r="AR553" s="104"/>
      <c r="AS553" s="43"/>
      <c r="AT553" s="104"/>
      <c r="AV553" s="104"/>
      <c r="AW553" s="102"/>
    </row>
    <row r="554" spans="14:49">
      <c r="N554" s="101"/>
      <c r="AN554" s="102"/>
      <c r="AO554" s="103"/>
      <c r="AP554" s="104"/>
      <c r="AR554" s="104"/>
      <c r="AS554" s="43"/>
      <c r="AT554" s="104"/>
      <c r="AV554" s="104"/>
      <c r="AW554" s="102"/>
    </row>
    <row r="555" spans="14:49">
      <c r="N555" s="101"/>
      <c r="AN555" s="102"/>
      <c r="AO555" s="103"/>
      <c r="AP555" s="104"/>
      <c r="AR555" s="104"/>
      <c r="AS555" s="43"/>
      <c r="AT555" s="104"/>
      <c r="AV555" s="104"/>
      <c r="AW555" s="102"/>
    </row>
    <row r="556" spans="14:49">
      <c r="N556" s="101"/>
      <c r="AN556" s="102"/>
      <c r="AO556" s="103"/>
      <c r="AP556" s="104"/>
      <c r="AR556" s="104"/>
      <c r="AS556" s="43"/>
      <c r="AT556" s="104"/>
      <c r="AV556" s="104"/>
      <c r="AW556" s="102"/>
    </row>
    <row r="557" spans="14:49">
      <c r="N557" s="101"/>
      <c r="AN557" s="102"/>
      <c r="AO557" s="103"/>
      <c r="AP557" s="104"/>
      <c r="AR557" s="104"/>
      <c r="AS557" s="43"/>
      <c r="AT557" s="104"/>
      <c r="AV557" s="104"/>
      <c r="AW557" s="102"/>
    </row>
    <row r="558" spans="14:49">
      <c r="N558" s="101"/>
      <c r="AN558" s="102"/>
      <c r="AO558" s="103"/>
      <c r="AP558" s="104"/>
      <c r="AR558" s="104"/>
      <c r="AS558" s="43"/>
      <c r="AT558" s="104"/>
      <c r="AV558" s="104"/>
      <c r="AW558" s="102"/>
    </row>
    <row r="559" spans="14:49">
      <c r="N559" s="101"/>
      <c r="AN559" s="102"/>
      <c r="AO559" s="103"/>
      <c r="AP559" s="104"/>
      <c r="AR559" s="104"/>
      <c r="AS559" s="43"/>
      <c r="AT559" s="104"/>
      <c r="AV559" s="104"/>
      <c r="AW559" s="102"/>
    </row>
    <row r="560" spans="14:49">
      <c r="N560" s="101"/>
      <c r="AN560" s="102"/>
      <c r="AO560" s="103"/>
      <c r="AP560" s="104"/>
      <c r="AR560" s="104"/>
      <c r="AS560" s="43"/>
      <c r="AT560" s="104"/>
      <c r="AV560" s="104"/>
      <c r="AW560" s="102"/>
    </row>
    <row r="561" spans="14:49">
      <c r="N561" s="101"/>
      <c r="AN561" s="102"/>
      <c r="AO561" s="103"/>
      <c r="AP561" s="104"/>
      <c r="AR561" s="104"/>
      <c r="AS561" s="43"/>
      <c r="AT561" s="104"/>
      <c r="AV561" s="104"/>
      <c r="AW561" s="102"/>
    </row>
    <row r="562" spans="14:49">
      <c r="N562" s="101"/>
      <c r="AN562" s="102"/>
      <c r="AO562" s="103"/>
      <c r="AP562" s="104"/>
      <c r="AR562" s="104"/>
      <c r="AS562" s="43"/>
      <c r="AT562" s="104"/>
      <c r="AV562" s="104"/>
      <c r="AW562" s="102"/>
    </row>
    <row r="563" spans="14:49">
      <c r="N563" s="101"/>
      <c r="AN563" s="102"/>
      <c r="AO563" s="103"/>
      <c r="AP563" s="104"/>
      <c r="AR563" s="104"/>
      <c r="AS563" s="43"/>
      <c r="AT563" s="104"/>
      <c r="AV563" s="104"/>
      <c r="AW563" s="102"/>
    </row>
    <row r="564" spans="14:49">
      <c r="N564" s="101"/>
      <c r="AN564" s="102"/>
      <c r="AO564" s="103"/>
      <c r="AP564" s="104"/>
      <c r="AR564" s="104"/>
      <c r="AS564" s="43"/>
      <c r="AT564" s="104"/>
      <c r="AV564" s="104"/>
      <c r="AW564" s="102"/>
    </row>
    <row r="565" spans="14:49">
      <c r="N565" s="101"/>
      <c r="AN565" s="102"/>
      <c r="AO565" s="103"/>
      <c r="AP565" s="104"/>
      <c r="AR565" s="104"/>
      <c r="AS565" s="43"/>
      <c r="AT565" s="104"/>
      <c r="AV565" s="104"/>
      <c r="AW565" s="102"/>
    </row>
    <row r="566" spans="14:49">
      <c r="N566" s="101"/>
      <c r="AN566" s="102"/>
      <c r="AO566" s="103"/>
      <c r="AP566" s="104"/>
      <c r="AR566" s="104"/>
      <c r="AS566" s="43"/>
      <c r="AT566" s="104"/>
      <c r="AV566" s="104"/>
      <c r="AW566" s="102"/>
    </row>
    <row r="567" spans="14:49">
      <c r="N567" s="101"/>
      <c r="AN567" s="102"/>
      <c r="AO567" s="103"/>
      <c r="AP567" s="104"/>
      <c r="AR567" s="104"/>
      <c r="AS567" s="43"/>
      <c r="AT567" s="104"/>
      <c r="AV567" s="104"/>
      <c r="AW567" s="102"/>
    </row>
    <row r="568" spans="14:49">
      <c r="N568" s="101"/>
      <c r="AN568" s="102"/>
      <c r="AO568" s="103"/>
      <c r="AP568" s="104"/>
      <c r="AR568" s="104"/>
      <c r="AS568" s="43"/>
      <c r="AT568" s="104"/>
      <c r="AV568" s="104"/>
      <c r="AW568" s="102"/>
    </row>
    <row r="569" spans="14:49">
      <c r="N569" s="101"/>
      <c r="AN569" s="102"/>
      <c r="AO569" s="103"/>
      <c r="AP569" s="104"/>
      <c r="AR569" s="104"/>
      <c r="AS569" s="43"/>
      <c r="AT569" s="104"/>
      <c r="AV569" s="104"/>
      <c r="AW569" s="102"/>
    </row>
    <row r="570" spans="14:49">
      <c r="N570" s="101"/>
      <c r="AN570" s="102"/>
      <c r="AO570" s="103"/>
      <c r="AP570" s="104"/>
      <c r="AR570" s="104"/>
      <c r="AS570" s="43"/>
      <c r="AT570" s="104"/>
      <c r="AV570" s="104"/>
      <c r="AW570" s="102"/>
    </row>
    <row r="571" spans="14:49">
      <c r="N571" s="101"/>
      <c r="AN571" s="102"/>
      <c r="AO571" s="103"/>
      <c r="AP571" s="104"/>
      <c r="AR571" s="104"/>
      <c r="AS571" s="43"/>
      <c r="AT571" s="104"/>
      <c r="AV571" s="104"/>
      <c r="AW571" s="102"/>
    </row>
    <row r="572" spans="14:49">
      <c r="N572" s="101"/>
      <c r="AN572" s="102"/>
      <c r="AO572" s="103"/>
      <c r="AP572" s="104"/>
      <c r="AR572" s="104"/>
      <c r="AS572" s="43"/>
      <c r="AT572" s="104"/>
      <c r="AV572" s="104"/>
      <c r="AW572" s="102"/>
    </row>
    <row r="573" spans="14:49">
      <c r="N573" s="101"/>
      <c r="AN573" s="102"/>
      <c r="AO573" s="103"/>
      <c r="AP573" s="104"/>
      <c r="AR573" s="104"/>
      <c r="AS573" s="43"/>
      <c r="AT573" s="104"/>
      <c r="AV573" s="104"/>
      <c r="AW573" s="102"/>
    </row>
    <row r="574" spans="14:49">
      <c r="N574" s="101"/>
      <c r="AN574" s="102"/>
      <c r="AO574" s="103"/>
      <c r="AP574" s="104"/>
      <c r="AR574" s="104"/>
      <c r="AS574" s="43"/>
      <c r="AT574" s="104"/>
      <c r="AV574" s="104"/>
      <c r="AW574" s="102"/>
    </row>
    <row r="575" spans="14:49">
      <c r="N575" s="101"/>
      <c r="AN575" s="102"/>
      <c r="AO575" s="103"/>
      <c r="AP575" s="104"/>
      <c r="AR575" s="104"/>
      <c r="AS575" s="43"/>
      <c r="AT575" s="104"/>
      <c r="AV575" s="104"/>
      <c r="AW575" s="102"/>
    </row>
    <row r="576" spans="14:49">
      <c r="N576" s="101"/>
      <c r="Y576" s="78"/>
      <c r="AN576" s="102"/>
      <c r="AO576" s="103"/>
      <c r="AP576" s="104"/>
      <c r="AR576" s="104"/>
      <c r="AS576" s="43"/>
      <c r="AT576" s="104"/>
      <c r="AV576" s="104"/>
      <c r="AW576" s="102"/>
    </row>
    <row r="577" spans="14:49">
      <c r="N577" s="101"/>
      <c r="AN577" s="102"/>
      <c r="AO577" s="103"/>
      <c r="AP577" s="104"/>
      <c r="AR577" s="104"/>
      <c r="AS577" s="43"/>
      <c r="AT577" s="104"/>
      <c r="AV577" s="104"/>
      <c r="AW577" s="102"/>
    </row>
    <row r="578" spans="14:49">
      <c r="N578" s="101"/>
      <c r="AN578" s="102"/>
      <c r="AO578" s="103"/>
      <c r="AP578" s="104"/>
      <c r="AR578" s="104"/>
      <c r="AS578" s="43"/>
      <c r="AT578" s="104"/>
      <c r="AV578" s="104"/>
      <c r="AW578" s="102"/>
    </row>
    <row r="579" spans="14:49">
      <c r="N579" s="101"/>
      <c r="AN579" s="102"/>
      <c r="AO579" s="103"/>
      <c r="AP579" s="104"/>
      <c r="AR579" s="104"/>
      <c r="AS579" s="43"/>
      <c r="AT579" s="104"/>
      <c r="AV579" s="104"/>
      <c r="AW579" s="102"/>
    </row>
    <row r="580" spans="14:49">
      <c r="N580" s="101"/>
      <c r="AN580" s="102"/>
      <c r="AO580" s="103"/>
      <c r="AP580" s="104"/>
      <c r="AR580" s="104"/>
      <c r="AS580" s="43"/>
      <c r="AT580" s="104"/>
      <c r="AV580" s="104"/>
      <c r="AW580" s="102"/>
    </row>
    <row r="581" spans="14:49">
      <c r="N581" s="101"/>
      <c r="AN581" s="102"/>
      <c r="AO581" s="103"/>
      <c r="AP581" s="104"/>
      <c r="AR581" s="104"/>
      <c r="AS581" s="43"/>
      <c r="AT581" s="104"/>
      <c r="AV581" s="104"/>
      <c r="AW581" s="102"/>
    </row>
    <row r="582" spans="14:49">
      <c r="N582" s="101"/>
      <c r="AN582" s="102"/>
      <c r="AO582" s="103"/>
      <c r="AP582" s="104"/>
      <c r="AR582" s="104"/>
      <c r="AS582" s="43"/>
      <c r="AT582" s="104"/>
      <c r="AV582" s="104"/>
      <c r="AW582" s="102"/>
    </row>
    <row r="583" spans="14:49">
      <c r="N583" s="101"/>
      <c r="AN583" s="102"/>
      <c r="AO583" s="103"/>
      <c r="AP583" s="104"/>
      <c r="AR583" s="104"/>
      <c r="AS583" s="43"/>
      <c r="AT583" s="104"/>
      <c r="AV583" s="104"/>
      <c r="AW583" s="102"/>
    </row>
    <row r="584" spans="14:49">
      <c r="N584" s="101"/>
      <c r="AN584" s="102"/>
      <c r="AO584" s="103"/>
      <c r="AP584" s="104"/>
      <c r="AR584" s="104"/>
      <c r="AS584" s="43"/>
      <c r="AT584" s="104"/>
      <c r="AV584" s="104"/>
      <c r="AW584" s="102"/>
    </row>
    <row r="585" spans="14:49">
      <c r="N585" s="101"/>
      <c r="AN585" s="102"/>
      <c r="AO585" s="103"/>
      <c r="AP585" s="104"/>
      <c r="AR585" s="104"/>
      <c r="AS585" s="43"/>
      <c r="AT585" s="104"/>
      <c r="AV585" s="104"/>
      <c r="AW585" s="102"/>
    </row>
    <row r="586" spans="14:49">
      <c r="N586" s="101"/>
      <c r="AN586" s="102"/>
      <c r="AO586" s="103"/>
      <c r="AP586" s="104"/>
      <c r="AR586" s="104"/>
      <c r="AS586" s="43"/>
      <c r="AT586" s="104"/>
      <c r="AV586" s="104"/>
      <c r="AW586" s="102"/>
    </row>
    <row r="587" spans="14:49">
      <c r="N587" s="101"/>
      <c r="AN587" s="102"/>
      <c r="AO587" s="103"/>
      <c r="AP587" s="104"/>
      <c r="AR587" s="104"/>
      <c r="AS587" s="43"/>
      <c r="AT587" s="104"/>
      <c r="AV587" s="104"/>
      <c r="AW587" s="102"/>
    </row>
    <row r="588" spans="14:49">
      <c r="N588" s="101"/>
      <c r="AN588" s="102"/>
      <c r="AO588" s="103"/>
      <c r="AP588" s="104"/>
      <c r="AR588" s="104"/>
      <c r="AS588" s="43"/>
      <c r="AT588" s="104"/>
      <c r="AV588" s="104"/>
      <c r="AW588" s="102"/>
    </row>
    <row r="589" spans="14:49">
      <c r="N589" s="101"/>
      <c r="AN589" s="102"/>
      <c r="AO589" s="103"/>
      <c r="AP589" s="104"/>
      <c r="AR589" s="104"/>
      <c r="AS589" s="43"/>
      <c r="AT589" s="104"/>
      <c r="AV589" s="104"/>
      <c r="AW589" s="102"/>
    </row>
    <row r="590" spans="14:49">
      <c r="N590" s="101"/>
      <c r="AN590" s="102"/>
      <c r="AO590" s="103"/>
      <c r="AP590" s="104"/>
      <c r="AR590" s="104"/>
      <c r="AS590" s="43"/>
      <c r="AT590" s="104"/>
      <c r="AV590" s="104"/>
      <c r="AW590" s="102"/>
    </row>
    <row r="591" spans="14:49">
      <c r="N591" s="101"/>
      <c r="AN591" s="102"/>
      <c r="AO591" s="103"/>
      <c r="AP591" s="104"/>
      <c r="AR591" s="104"/>
      <c r="AS591" s="43"/>
      <c r="AT591" s="104"/>
      <c r="AV591" s="104"/>
      <c r="AW591" s="102"/>
    </row>
    <row r="592" spans="14:49">
      <c r="N592" s="101"/>
      <c r="AN592" s="102"/>
      <c r="AO592" s="103"/>
      <c r="AP592" s="104"/>
      <c r="AR592" s="104"/>
      <c r="AS592" s="43"/>
      <c r="AT592" s="104"/>
      <c r="AV592" s="104"/>
      <c r="AW592" s="102"/>
    </row>
    <row r="593" spans="14:49">
      <c r="N593" s="101"/>
      <c r="AN593" s="102"/>
      <c r="AO593" s="103"/>
      <c r="AP593" s="104"/>
      <c r="AR593" s="104"/>
      <c r="AS593" s="43"/>
      <c r="AT593" s="104"/>
      <c r="AV593" s="104"/>
      <c r="AW593" s="102"/>
    </row>
    <row r="594" spans="14:49">
      <c r="N594" s="101"/>
      <c r="AN594" s="102"/>
      <c r="AO594" s="103"/>
      <c r="AP594" s="104"/>
      <c r="AR594" s="104"/>
      <c r="AS594" s="43"/>
      <c r="AT594" s="104"/>
      <c r="AV594" s="104"/>
      <c r="AW594" s="102"/>
    </row>
    <row r="595" spans="14:49">
      <c r="N595" s="101"/>
      <c r="AN595" s="102"/>
      <c r="AO595" s="103"/>
      <c r="AP595" s="104"/>
      <c r="AR595" s="104"/>
      <c r="AS595" s="43"/>
      <c r="AT595" s="104"/>
      <c r="AV595" s="104"/>
      <c r="AW595" s="102"/>
    </row>
    <row r="596" spans="14:49">
      <c r="N596" s="101"/>
      <c r="AN596" s="102"/>
      <c r="AO596" s="103"/>
      <c r="AP596" s="104"/>
      <c r="AR596" s="104"/>
      <c r="AS596" s="43"/>
      <c r="AT596" s="104"/>
      <c r="AV596" s="104"/>
      <c r="AW596" s="102"/>
    </row>
    <row r="597" spans="14:49">
      <c r="N597" s="101"/>
      <c r="AN597" s="102"/>
      <c r="AO597" s="103"/>
      <c r="AP597" s="104"/>
      <c r="AR597" s="104"/>
      <c r="AS597" s="43"/>
      <c r="AT597" s="104"/>
      <c r="AV597" s="104"/>
      <c r="AW597" s="102"/>
    </row>
    <row r="598" spans="14:49">
      <c r="N598" s="101"/>
      <c r="AN598" s="102"/>
      <c r="AO598" s="103"/>
      <c r="AP598" s="104"/>
      <c r="AR598" s="104"/>
      <c r="AS598" s="43"/>
      <c r="AT598" s="104"/>
      <c r="AV598" s="104"/>
      <c r="AW598" s="102"/>
    </row>
    <row r="599" spans="14:49">
      <c r="N599" s="101"/>
      <c r="AN599" s="102"/>
      <c r="AO599" s="103"/>
      <c r="AP599" s="104"/>
      <c r="AR599" s="104"/>
      <c r="AS599" s="43"/>
      <c r="AT599" s="104"/>
      <c r="AV599" s="104"/>
      <c r="AW599" s="102"/>
    </row>
    <row r="600" spans="14:49">
      <c r="N600" s="101"/>
      <c r="AN600" s="102"/>
      <c r="AO600" s="103"/>
      <c r="AP600" s="104"/>
      <c r="AR600" s="104"/>
      <c r="AS600" s="43"/>
      <c r="AT600" s="104"/>
      <c r="AV600" s="104"/>
      <c r="AW600" s="102"/>
    </row>
    <row r="601" spans="14:49">
      <c r="N601" s="101"/>
      <c r="AN601" s="102"/>
      <c r="AO601" s="103"/>
      <c r="AP601" s="104"/>
      <c r="AR601" s="104"/>
      <c r="AS601" s="43"/>
      <c r="AT601" s="104"/>
      <c r="AV601" s="104"/>
      <c r="AW601" s="102"/>
    </row>
    <row r="602" spans="14:49">
      <c r="N602" s="101"/>
      <c r="AN602" s="102"/>
      <c r="AO602" s="103"/>
      <c r="AP602" s="104"/>
      <c r="AR602" s="104"/>
      <c r="AS602" s="43"/>
      <c r="AT602" s="104"/>
      <c r="AV602" s="104"/>
      <c r="AW602" s="102"/>
    </row>
    <row r="603" spans="14:49">
      <c r="N603" s="101"/>
      <c r="AN603" s="102"/>
      <c r="AO603" s="103"/>
      <c r="AP603" s="104"/>
      <c r="AR603" s="104"/>
      <c r="AS603" s="43"/>
      <c r="AT603" s="104"/>
      <c r="AV603" s="104"/>
      <c r="AW603" s="102"/>
    </row>
    <row r="604" spans="14:49">
      <c r="N604" s="101"/>
      <c r="AN604" s="102"/>
      <c r="AO604" s="103"/>
      <c r="AP604" s="104"/>
      <c r="AR604" s="104"/>
      <c r="AS604" s="43"/>
      <c r="AT604" s="104"/>
      <c r="AV604" s="104"/>
      <c r="AW604" s="102"/>
    </row>
    <row r="605" spans="14:49">
      <c r="N605" s="101"/>
      <c r="AN605" s="102"/>
      <c r="AO605" s="103"/>
      <c r="AP605" s="104"/>
      <c r="AR605" s="104"/>
      <c r="AS605" s="43"/>
      <c r="AT605" s="104"/>
      <c r="AV605" s="104"/>
      <c r="AW605" s="102"/>
    </row>
    <row r="606" spans="14:49">
      <c r="N606" s="101"/>
      <c r="AN606" s="102"/>
      <c r="AO606" s="103"/>
      <c r="AP606" s="104"/>
      <c r="AR606" s="104"/>
      <c r="AS606" s="43"/>
      <c r="AT606" s="104"/>
      <c r="AV606" s="104"/>
      <c r="AW606" s="102"/>
    </row>
    <row r="607" spans="14:49">
      <c r="N607" s="101"/>
      <c r="AN607" s="102"/>
      <c r="AO607" s="103"/>
      <c r="AP607" s="104"/>
      <c r="AR607" s="104"/>
      <c r="AS607" s="43"/>
      <c r="AT607" s="104"/>
      <c r="AV607" s="104"/>
      <c r="AW607" s="102"/>
    </row>
    <row r="608" spans="14:49">
      <c r="N608" s="101"/>
      <c r="AN608" s="102"/>
      <c r="AO608" s="103"/>
      <c r="AP608" s="104"/>
      <c r="AR608" s="104"/>
      <c r="AS608" s="43"/>
      <c r="AT608" s="104"/>
      <c r="AV608" s="104"/>
      <c r="AW608" s="102"/>
    </row>
    <row r="609" spans="14:49">
      <c r="N609" s="101"/>
      <c r="AN609" s="102"/>
      <c r="AO609" s="103"/>
      <c r="AP609" s="104"/>
      <c r="AR609" s="104"/>
      <c r="AS609" s="43"/>
      <c r="AT609" s="104"/>
      <c r="AV609" s="104"/>
      <c r="AW609" s="102"/>
    </row>
    <row r="610" spans="14:49">
      <c r="N610" s="101"/>
      <c r="AN610" s="102"/>
      <c r="AO610" s="103"/>
      <c r="AP610" s="104"/>
      <c r="AR610" s="104"/>
      <c r="AS610" s="43"/>
      <c r="AT610" s="104"/>
      <c r="AV610" s="104"/>
      <c r="AW610" s="102"/>
    </row>
    <row r="611" spans="14:49">
      <c r="N611" s="101"/>
      <c r="AN611" s="102"/>
      <c r="AO611" s="103"/>
      <c r="AP611" s="104"/>
      <c r="AR611" s="104"/>
      <c r="AS611" s="43"/>
      <c r="AT611" s="104"/>
      <c r="AV611" s="104"/>
      <c r="AW611" s="102"/>
    </row>
    <row r="612" spans="14:49">
      <c r="N612" s="101"/>
      <c r="AN612" s="102"/>
      <c r="AO612" s="103"/>
      <c r="AP612" s="104"/>
      <c r="AR612" s="104"/>
      <c r="AS612" s="43"/>
      <c r="AT612" s="104"/>
      <c r="AV612" s="104"/>
      <c r="AW612" s="102"/>
    </row>
    <row r="613" spans="14:49">
      <c r="N613" s="101"/>
      <c r="AN613" s="102"/>
      <c r="AO613" s="103"/>
      <c r="AP613" s="104"/>
      <c r="AR613" s="104"/>
      <c r="AS613" s="43"/>
      <c r="AT613" s="104"/>
      <c r="AV613" s="104"/>
      <c r="AW613" s="102"/>
    </row>
    <row r="614" spans="14:49">
      <c r="N614" s="101"/>
      <c r="AN614" s="102"/>
      <c r="AO614" s="103"/>
      <c r="AP614" s="104"/>
      <c r="AR614" s="104"/>
      <c r="AS614" s="43"/>
      <c r="AT614" s="104"/>
      <c r="AV614" s="104"/>
      <c r="AW614" s="102"/>
    </row>
    <row r="615" spans="14:49">
      <c r="N615" s="101"/>
      <c r="AN615" s="102"/>
      <c r="AO615" s="103"/>
      <c r="AP615" s="104"/>
      <c r="AR615" s="104"/>
      <c r="AS615" s="43"/>
      <c r="AT615" s="104"/>
      <c r="AV615" s="104"/>
      <c r="AW615" s="102"/>
    </row>
    <row r="616" spans="14:49">
      <c r="N616" s="101"/>
      <c r="AN616" s="102"/>
      <c r="AO616" s="103"/>
      <c r="AP616" s="104"/>
      <c r="AR616" s="104"/>
      <c r="AS616" s="43"/>
      <c r="AT616" s="104"/>
      <c r="AV616" s="104"/>
      <c r="AW616" s="102"/>
    </row>
    <row r="617" spans="14:49">
      <c r="N617" s="101"/>
      <c r="Y617" s="78"/>
      <c r="AN617" s="102"/>
      <c r="AO617" s="103"/>
      <c r="AP617" s="104"/>
      <c r="AR617" s="104"/>
      <c r="AS617" s="43"/>
      <c r="AT617" s="104"/>
      <c r="AV617" s="104"/>
      <c r="AW617" s="102"/>
    </row>
    <row r="618" spans="14:49">
      <c r="N618" s="101"/>
      <c r="AN618" s="102"/>
      <c r="AO618" s="103"/>
      <c r="AP618" s="104"/>
      <c r="AR618" s="104"/>
      <c r="AS618" s="43"/>
      <c r="AT618" s="104"/>
      <c r="AV618" s="104"/>
      <c r="AW618" s="102"/>
    </row>
    <row r="619" spans="14:49">
      <c r="N619" s="101"/>
      <c r="AN619" s="102"/>
      <c r="AO619" s="103"/>
      <c r="AP619" s="104"/>
      <c r="AR619" s="104"/>
      <c r="AS619" s="43"/>
      <c r="AT619" s="104"/>
      <c r="AV619" s="104"/>
      <c r="AW619" s="102"/>
    </row>
    <row r="620" spans="14:49">
      <c r="N620" s="101"/>
      <c r="AN620" s="102"/>
      <c r="AO620" s="103"/>
      <c r="AP620" s="104"/>
      <c r="AR620" s="104"/>
      <c r="AS620" s="43"/>
      <c r="AT620" s="104"/>
      <c r="AV620" s="104"/>
      <c r="AW620" s="102"/>
    </row>
    <row r="621" spans="14:49">
      <c r="N621" s="101"/>
      <c r="AN621" s="102"/>
      <c r="AO621" s="103"/>
      <c r="AP621" s="104"/>
      <c r="AR621" s="104"/>
      <c r="AS621" s="43"/>
      <c r="AT621" s="104"/>
      <c r="AV621" s="104"/>
      <c r="AW621" s="102"/>
    </row>
    <row r="622" spans="14:49">
      <c r="N622" s="101"/>
      <c r="AN622" s="102"/>
      <c r="AO622" s="103"/>
      <c r="AP622" s="104"/>
      <c r="AR622" s="104"/>
      <c r="AS622" s="43"/>
      <c r="AT622" s="104"/>
      <c r="AV622" s="104"/>
      <c r="AW622" s="102"/>
    </row>
    <row r="623" spans="14:49">
      <c r="N623" s="101"/>
      <c r="AN623" s="102"/>
      <c r="AO623" s="103"/>
      <c r="AP623" s="104"/>
      <c r="AR623" s="104"/>
      <c r="AS623" s="43"/>
      <c r="AT623" s="104"/>
      <c r="AV623" s="104"/>
      <c r="AW623" s="102"/>
    </row>
    <row r="624" spans="14:49">
      <c r="N624" s="101"/>
      <c r="AN624" s="102"/>
      <c r="AO624" s="103"/>
      <c r="AP624" s="104"/>
      <c r="AR624" s="104"/>
      <c r="AS624" s="43"/>
      <c r="AT624" s="104"/>
      <c r="AV624" s="104"/>
      <c r="AW624" s="102"/>
    </row>
    <row r="625" spans="14:49">
      <c r="N625" s="101"/>
      <c r="AN625" s="102"/>
      <c r="AO625" s="103"/>
      <c r="AP625" s="104"/>
      <c r="AR625" s="104"/>
      <c r="AS625" s="43"/>
      <c r="AT625" s="104"/>
      <c r="AV625" s="104"/>
      <c r="AW625" s="102"/>
    </row>
    <row r="626" spans="14:49">
      <c r="N626" s="101"/>
      <c r="AN626" s="102"/>
      <c r="AO626" s="103"/>
      <c r="AP626" s="104"/>
      <c r="AR626" s="104"/>
      <c r="AS626" s="43"/>
      <c r="AT626" s="104"/>
      <c r="AV626" s="104"/>
      <c r="AW626" s="102"/>
    </row>
    <row r="627" spans="14:49">
      <c r="N627" s="101"/>
      <c r="AN627" s="102"/>
      <c r="AO627" s="103"/>
      <c r="AP627" s="104"/>
      <c r="AR627" s="104"/>
      <c r="AS627" s="43"/>
      <c r="AT627" s="104"/>
      <c r="AV627" s="104"/>
      <c r="AW627" s="102"/>
    </row>
    <row r="628" spans="14:49">
      <c r="N628" s="101"/>
      <c r="AN628" s="102"/>
      <c r="AO628" s="103"/>
      <c r="AP628" s="104"/>
      <c r="AR628" s="104"/>
      <c r="AS628" s="43"/>
      <c r="AT628" s="104"/>
      <c r="AV628" s="104"/>
      <c r="AW628" s="102"/>
    </row>
    <row r="629" spans="14:49">
      <c r="N629" s="101"/>
      <c r="AN629" s="102"/>
      <c r="AO629" s="103"/>
      <c r="AP629" s="104"/>
      <c r="AR629" s="104"/>
      <c r="AS629" s="43"/>
      <c r="AT629" s="104"/>
      <c r="AV629" s="104"/>
      <c r="AW629" s="102"/>
    </row>
    <row r="630" spans="14:49">
      <c r="N630" s="101"/>
      <c r="AN630" s="102"/>
      <c r="AO630" s="103"/>
      <c r="AP630" s="104"/>
      <c r="AR630" s="104"/>
      <c r="AS630" s="43"/>
      <c r="AT630" s="104"/>
      <c r="AV630" s="104"/>
      <c r="AW630" s="102"/>
    </row>
    <row r="631" spans="14:49">
      <c r="N631" s="101"/>
      <c r="AN631" s="102"/>
      <c r="AO631" s="103"/>
      <c r="AP631" s="104"/>
      <c r="AR631" s="104"/>
      <c r="AS631" s="43"/>
      <c r="AT631" s="104"/>
      <c r="AV631" s="104"/>
      <c r="AW631" s="102"/>
    </row>
    <row r="632" spans="14:49">
      <c r="N632" s="101"/>
      <c r="AN632" s="102"/>
      <c r="AO632" s="103"/>
      <c r="AP632" s="104"/>
      <c r="AR632" s="104"/>
      <c r="AS632" s="43"/>
      <c r="AT632" s="104"/>
      <c r="AV632" s="104"/>
      <c r="AW632" s="102"/>
    </row>
    <row r="633" spans="14:49">
      <c r="N633" s="101"/>
      <c r="AN633" s="102"/>
      <c r="AO633" s="103"/>
      <c r="AP633" s="104"/>
      <c r="AR633" s="104"/>
      <c r="AS633" s="43"/>
      <c r="AT633" s="104"/>
      <c r="AV633" s="104"/>
      <c r="AW633" s="102"/>
    </row>
    <row r="634" spans="14:49">
      <c r="N634" s="101"/>
      <c r="AN634" s="102"/>
      <c r="AO634" s="103"/>
      <c r="AP634" s="104"/>
      <c r="AR634" s="104"/>
      <c r="AS634" s="43"/>
      <c r="AT634" s="104"/>
      <c r="AV634" s="104"/>
      <c r="AW634" s="102"/>
    </row>
    <row r="635" spans="14:49">
      <c r="N635" s="101"/>
      <c r="AN635" s="102"/>
      <c r="AO635" s="103"/>
      <c r="AP635" s="104"/>
      <c r="AR635" s="104"/>
      <c r="AS635" s="43"/>
      <c r="AT635" s="104"/>
      <c r="AV635" s="104"/>
      <c r="AW635" s="102"/>
    </row>
    <row r="636" spans="14:49">
      <c r="N636" s="101"/>
      <c r="AN636" s="102"/>
      <c r="AO636" s="103"/>
      <c r="AP636" s="104"/>
      <c r="AR636" s="104"/>
      <c r="AS636" s="43"/>
      <c r="AT636" s="104"/>
      <c r="AV636" s="104"/>
      <c r="AW636" s="102"/>
    </row>
    <row r="637" spans="14:49">
      <c r="N637" s="101"/>
      <c r="AN637" s="102"/>
      <c r="AO637" s="103"/>
      <c r="AP637" s="104"/>
      <c r="AR637" s="104"/>
      <c r="AS637" s="43"/>
      <c r="AT637" s="104"/>
      <c r="AV637" s="104"/>
      <c r="AW637" s="102"/>
    </row>
    <row r="638" spans="14:49">
      <c r="N638" s="101"/>
      <c r="AN638" s="102"/>
      <c r="AO638" s="103"/>
      <c r="AP638" s="104"/>
      <c r="AR638" s="104"/>
      <c r="AS638" s="43"/>
      <c r="AT638" s="104"/>
      <c r="AV638" s="104"/>
      <c r="AW638" s="102"/>
    </row>
    <row r="639" spans="14:49">
      <c r="N639" s="101"/>
      <c r="AN639" s="102"/>
      <c r="AO639" s="103"/>
      <c r="AP639" s="104"/>
      <c r="AR639" s="104"/>
      <c r="AS639" s="43"/>
      <c r="AT639" s="104"/>
      <c r="AV639" s="104"/>
      <c r="AW639" s="102"/>
    </row>
    <row r="640" spans="14:49">
      <c r="N640" s="101"/>
      <c r="AN640" s="102"/>
      <c r="AO640" s="103"/>
      <c r="AP640" s="104"/>
      <c r="AR640" s="104"/>
      <c r="AS640" s="43"/>
      <c r="AT640" s="104"/>
      <c r="AV640" s="104"/>
      <c r="AW640" s="102"/>
    </row>
    <row r="641" spans="14:49">
      <c r="N641" s="101"/>
      <c r="AN641" s="102"/>
      <c r="AO641" s="103"/>
      <c r="AP641" s="104"/>
      <c r="AR641" s="104"/>
      <c r="AS641" s="43"/>
      <c r="AT641" s="104"/>
      <c r="AV641" s="104"/>
      <c r="AW641" s="102"/>
    </row>
    <row r="642" spans="14:49">
      <c r="N642" s="101"/>
      <c r="AN642" s="102"/>
      <c r="AO642" s="103"/>
      <c r="AP642" s="104"/>
      <c r="AR642" s="104"/>
      <c r="AS642" s="43"/>
      <c r="AT642" s="104"/>
      <c r="AV642" s="104"/>
      <c r="AW642" s="102"/>
    </row>
    <row r="643" spans="14:49">
      <c r="N643" s="101"/>
      <c r="AN643" s="102"/>
      <c r="AO643" s="103"/>
      <c r="AP643" s="104"/>
      <c r="AR643" s="104"/>
      <c r="AS643" s="43"/>
      <c r="AT643" s="104"/>
      <c r="AV643" s="104"/>
      <c r="AW643" s="102"/>
    </row>
    <row r="644" spans="14:49">
      <c r="N644" s="101"/>
      <c r="AN644" s="102"/>
      <c r="AO644" s="103"/>
      <c r="AP644" s="104"/>
      <c r="AR644" s="104"/>
      <c r="AS644" s="43"/>
      <c r="AT644" s="104"/>
      <c r="AV644" s="104"/>
      <c r="AW644" s="102"/>
    </row>
    <row r="645" spans="14:49">
      <c r="N645" s="101"/>
      <c r="AN645" s="102"/>
      <c r="AO645" s="103"/>
      <c r="AP645" s="104"/>
      <c r="AR645" s="104"/>
      <c r="AS645" s="43"/>
      <c r="AT645" s="104"/>
      <c r="AV645" s="104"/>
      <c r="AW645" s="102"/>
    </row>
    <row r="646" spans="14:49">
      <c r="N646" s="101"/>
      <c r="AN646" s="102"/>
      <c r="AO646" s="103"/>
      <c r="AP646" s="104"/>
      <c r="AR646" s="104"/>
      <c r="AS646" s="43"/>
      <c r="AT646" s="104"/>
      <c r="AV646" s="104"/>
      <c r="AW646" s="102"/>
    </row>
    <row r="647" spans="14:49">
      <c r="N647" s="101"/>
      <c r="AN647" s="102"/>
      <c r="AO647" s="103"/>
      <c r="AP647" s="104"/>
      <c r="AR647" s="104"/>
      <c r="AS647" s="43"/>
      <c r="AT647" s="104"/>
      <c r="AV647" s="104"/>
      <c r="AW647" s="102"/>
    </row>
    <row r="648" spans="14:49">
      <c r="N648" s="101"/>
      <c r="AN648" s="102"/>
      <c r="AO648" s="103"/>
      <c r="AP648" s="104"/>
      <c r="AR648" s="104"/>
      <c r="AS648" s="43"/>
      <c r="AT648" s="104"/>
      <c r="AV648" s="104"/>
      <c r="AW648" s="102"/>
    </row>
    <row r="649" spans="14:49">
      <c r="N649" s="101"/>
      <c r="AN649" s="102"/>
      <c r="AO649" s="103"/>
      <c r="AP649" s="104"/>
      <c r="AR649" s="104"/>
      <c r="AS649" s="43"/>
      <c r="AT649" s="104"/>
      <c r="AV649" s="104"/>
      <c r="AW649" s="102"/>
    </row>
    <row r="650" spans="14:49">
      <c r="N650" s="101"/>
      <c r="AN650" s="102"/>
      <c r="AO650" s="103"/>
      <c r="AP650" s="104"/>
      <c r="AR650" s="104"/>
      <c r="AS650" s="43"/>
      <c r="AT650" s="104"/>
      <c r="AV650" s="104"/>
      <c r="AW650" s="102"/>
    </row>
    <row r="651" spans="14:49">
      <c r="N651" s="101"/>
      <c r="AN651" s="102"/>
      <c r="AO651" s="103"/>
      <c r="AP651" s="104"/>
      <c r="AR651" s="104"/>
      <c r="AS651" s="43"/>
      <c r="AT651" s="104"/>
      <c r="AV651" s="104"/>
      <c r="AW651" s="102"/>
    </row>
    <row r="652" spans="14:49">
      <c r="N652" s="101"/>
      <c r="AN652" s="102"/>
      <c r="AO652" s="103"/>
      <c r="AP652" s="104"/>
      <c r="AR652" s="104"/>
      <c r="AS652" s="43"/>
      <c r="AT652" s="104"/>
      <c r="AV652" s="104"/>
      <c r="AW652" s="102"/>
    </row>
    <row r="653" spans="14:49">
      <c r="N653" s="101"/>
      <c r="AN653" s="102"/>
      <c r="AO653" s="103"/>
      <c r="AP653" s="104"/>
      <c r="AR653" s="104"/>
      <c r="AS653" s="43"/>
      <c r="AT653" s="104"/>
      <c r="AV653" s="104"/>
      <c r="AW653" s="102"/>
    </row>
    <row r="654" spans="14:49">
      <c r="N654" s="101"/>
      <c r="AN654" s="102"/>
      <c r="AO654" s="103"/>
      <c r="AP654" s="104"/>
      <c r="AR654" s="104"/>
      <c r="AS654" s="43"/>
      <c r="AT654" s="104"/>
      <c r="AV654" s="104"/>
      <c r="AW654" s="102"/>
    </row>
    <row r="655" spans="14:49">
      <c r="N655" s="101"/>
      <c r="AN655" s="102"/>
      <c r="AO655" s="103"/>
      <c r="AP655" s="104"/>
      <c r="AR655" s="104"/>
      <c r="AS655" s="43"/>
      <c r="AT655" s="104"/>
      <c r="AV655" s="104"/>
      <c r="AW655" s="102"/>
    </row>
    <row r="656" spans="14:49">
      <c r="N656" s="101"/>
      <c r="AN656" s="102"/>
      <c r="AO656" s="103"/>
      <c r="AP656" s="104"/>
      <c r="AR656" s="104"/>
      <c r="AS656" s="43"/>
      <c r="AT656" s="104"/>
      <c r="AV656" s="104"/>
      <c r="AW656" s="102"/>
    </row>
    <row r="657" spans="14:49">
      <c r="N657" s="101"/>
      <c r="AN657" s="102"/>
      <c r="AO657" s="103"/>
      <c r="AP657" s="104"/>
      <c r="AR657" s="104"/>
      <c r="AS657" s="43"/>
      <c r="AT657" s="104"/>
      <c r="AV657" s="104"/>
      <c r="AW657" s="102"/>
    </row>
    <row r="658" spans="14:49">
      <c r="N658" s="101"/>
      <c r="Y658" s="78"/>
      <c r="AN658" s="102"/>
      <c r="AO658" s="103"/>
      <c r="AP658" s="104"/>
      <c r="AR658" s="104"/>
      <c r="AS658" s="43"/>
      <c r="AT658" s="104"/>
      <c r="AV658" s="104"/>
      <c r="AW658" s="102"/>
    </row>
    <row r="659" spans="14:49">
      <c r="N659" s="101"/>
      <c r="AN659" s="102"/>
      <c r="AO659" s="103"/>
      <c r="AP659" s="104"/>
      <c r="AR659" s="104"/>
      <c r="AS659" s="43"/>
      <c r="AT659" s="104"/>
      <c r="AV659" s="104"/>
      <c r="AW659" s="102"/>
    </row>
    <row r="660" spans="14:49">
      <c r="N660" s="101"/>
      <c r="AN660" s="102"/>
      <c r="AO660" s="103"/>
      <c r="AP660" s="104"/>
      <c r="AR660" s="104"/>
      <c r="AS660" s="43"/>
      <c r="AT660" s="104"/>
      <c r="AV660" s="104"/>
      <c r="AW660" s="102"/>
    </row>
    <row r="661" spans="14:49">
      <c r="N661" s="101"/>
      <c r="AN661" s="102"/>
      <c r="AO661" s="103"/>
      <c r="AP661" s="104"/>
      <c r="AR661" s="104"/>
      <c r="AS661" s="43"/>
      <c r="AT661" s="104"/>
      <c r="AV661" s="104"/>
      <c r="AW661" s="102"/>
    </row>
    <row r="662" spans="14:49">
      <c r="N662" s="101"/>
      <c r="AN662" s="102"/>
      <c r="AO662" s="103"/>
      <c r="AP662" s="104"/>
      <c r="AR662" s="104"/>
      <c r="AS662" s="43"/>
      <c r="AT662" s="104"/>
      <c r="AV662" s="104"/>
      <c r="AW662" s="102"/>
    </row>
    <row r="663" spans="14:49">
      <c r="N663" s="101"/>
      <c r="AN663" s="102"/>
      <c r="AO663" s="103"/>
      <c r="AP663" s="104"/>
      <c r="AR663" s="104"/>
      <c r="AS663" s="43"/>
      <c r="AT663" s="104"/>
      <c r="AV663" s="104"/>
      <c r="AW663" s="102"/>
    </row>
    <row r="664" spans="14:49">
      <c r="N664" s="101"/>
      <c r="AN664" s="102"/>
      <c r="AO664" s="103"/>
      <c r="AP664" s="104"/>
      <c r="AR664" s="104"/>
      <c r="AS664" s="43"/>
      <c r="AT664" s="104"/>
      <c r="AV664" s="104"/>
      <c r="AW664" s="102"/>
    </row>
    <row r="665" spans="14:49">
      <c r="N665" s="101"/>
      <c r="AN665" s="102"/>
      <c r="AO665" s="103"/>
      <c r="AP665" s="104"/>
      <c r="AR665" s="104"/>
      <c r="AS665" s="43"/>
      <c r="AT665" s="104"/>
      <c r="AV665" s="104"/>
      <c r="AW665" s="102"/>
    </row>
    <row r="666" spans="14:49">
      <c r="N666" s="101"/>
      <c r="AN666" s="102"/>
      <c r="AO666" s="103"/>
      <c r="AP666" s="104"/>
      <c r="AR666" s="104"/>
      <c r="AS666" s="43"/>
      <c r="AT666" s="104"/>
      <c r="AV666" s="104"/>
      <c r="AW666" s="102"/>
    </row>
    <row r="667" spans="14:49">
      <c r="N667" s="101"/>
      <c r="AN667" s="102"/>
      <c r="AO667" s="103"/>
      <c r="AP667" s="104"/>
      <c r="AR667" s="104"/>
      <c r="AS667" s="43"/>
      <c r="AT667" s="104"/>
      <c r="AV667" s="104"/>
      <c r="AW667" s="102"/>
    </row>
    <row r="668" spans="14:49">
      <c r="N668" s="101"/>
      <c r="AN668" s="102"/>
      <c r="AO668" s="103"/>
      <c r="AP668" s="104"/>
      <c r="AR668" s="104"/>
      <c r="AS668" s="43"/>
      <c r="AT668" s="104"/>
      <c r="AV668" s="104"/>
      <c r="AW668" s="102"/>
    </row>
    <row r="669" spans="14:49">
      <c r="N669" s="101"/>
      <c r="AN669" s="102"/>
      <c r="AO669" s="103"/>
      <c r="AP669" s="104"/>
      <c r="AR669" s="104"/>
      <c r="AS669" s="43"/>
      <c r="AT669" s="104"/>
      <c r="AV669" s="104"/>
      <c r="AW669" s="102"/>
    </row>
    <row r="670" spans="14:49">
      <c r="N670" s="101"/>
      <c r="AN670" s="102"/>
      <c r="AO670" s="103"/>
      <c r="AP670" s="104"/>
      <c r="AR670" s="104"/>
      <c r="AS670" s="43"/>
      <c r="AT670" s="104"/>
      <c r="AV670" s="104"/>
      <c r="AW670" s="102"/>
    </row>
    <row r="671" spans="14:49">
      <c r="N671" s="101"/>
      <c r="AN671" s="102"/>
      <c r="AO671" s="103"/>
      <c r="AP671" s="104"/>
      <c r="AR671" s="104"/>
      <c r="AS671" s="43"/>
      <c r="AT671" s="104"/>
      <c r="AV671" s="104"/>
      <c r="AW671" s="102"/>
    </row>
    <row r="672" spans="14:49">
      <c r="N672" s="101"/>
      <c r="AN672" s="102"/>
      <c r="AO672" s="103"/>
      <c r="AP672" s="104"/>
      <c r="AR672" s="104"/>
      <c r="AS672" s="43"/>
      <c r="AT672" s="104"/>
      <c r="AV672" s="104"/>
      <c r="AW672" s="102"/>
    </row>
    <row r="673" spans="14:49">
      <c r="N673" s="101"/>
      <c r="AN673" s="102"/>
      <c r="AO673" s="103"/>
      <c r="AP673" s="104"/>
      <c r="AR673" s="104"/>
      <c r="AS673" s="43"/>
      <c r="AT673" s="104"/>
      <c r="AV673" s="104"/>
      <c r="AW673" s="102"/>
    </row>
    <row r="674" spans="14:49">
      <c r="N674" s="101"/>
      <c r="AN674" s="102"/>
      <c r="AO674" s="103"/>
      <c r="AP674" s="104"/>
      <c r="AR674" s="104"/>
      <c r="AS674" s="43"/>
      <c r="AT674" s="104"/>
      <c r="AV674" s="104"/>
      <c r="AW674" s="102"/>
    </row>
    <row r="675" spans="14:49">
      <c r="N675" s="101"/>
      <c r="AN675" s="102"/>
      <c r="AO675" s="103"/>
      <c r="AP675" s="104"/>
      <c r="AR675" s="104"/>
      <c r="AS675" s="43"/>
      <c r="AT675" s="104"/>
      <c r="AV675" s="104"/>
      <c r="AW675" s="102"/>
    </row>
    <row r="676" spans="14:49">
      <c r="N676" s="101"/>
      <c r="AN676" s="102"/>
      <c r="AO676" s="103"/>
      <c r="AP676" s="104"/>
      <c r="AR676" s="104"/>
      <c r="AS676" s="43"/>
      <c r="AT676" s="104"/>
      <c r="AV676" s="104"/>
      <c r="AW676" s="102"/>
    </row>
    <row r="677" spans="14:49">
      <c r="N677" s="101"/>
      <c r="AN677" s="102"/>
      <c r="AO677" s="103"/>
      <c r="AP677" s="104"/>
      <c r="AR677" s="104"/>
      <c r="AS677" s="43"/>
      <c r="AT677" s="104"/>
      <c r="AV677" s="104"/>
      <c r="AW677" s="102"/>
    </row>
    <row r="678" spans="14:49">
      <c r="N678" s="101"/>
      <c r="AN678" s="102"/>
      <c r="AO678" s="103"/>
      <c r="AP678" s="104"/>
      <c r="AR678" s="104"/>
      <c r="AS678" s="43"/>
      <c r="AT678" s="104"/>
      <c r="AV678" s="104"/>
      <c r="AW678" s="102"/>
    </row>
    <row r="679" spans="14:49">
      <c r="N679" s="101"/>
      <c r="AN679" s="102"/>
      <c r="AO679" s="103"/>
      <c r="AP679" s="104"/>
      <c r="AR679" s="104"/>
      <c r="AS679" s="43"/>
      <c r="AT679" s="104"/>
      <c r="AV679" s="104"/>
      <c r="AW679" s="102"/>
    </row>
    <row r="680" spans="14:49">
      <c r="N680" s="101"/>
      <c r="AN680" s="102"/>
      <c r="AO680" s="103"/>
      <c r="AP680" s="104"/>
      <c r="AR680" s="104"/>
      <c r="AS680" s="43"/>
      <c r="AT680" s="104"/>
      <c r="AV680" s="104"/>
      <c r="AW680" s="102"/>
    </row>
    <row r="681" spans="14:49">
      <c r="N681" s="101"/>
      <c r="AN681" s="102"/>
      <c r="AO681" s="103"/>
      <c r="AP681" s="104"/>
      <c r="AR681" s="104"/>
      <c r="AS681" s="43"/>
      <c r="AT681" s="104"/>
      <c r="AV681" s="104"/>
      <c r="AW681" s="102"/>
    </row>
    <row r="682" spans="14:49">
      <c r="N682" s="101"/>
      <c r="AN682" s="102"/>
      <c r="AO682" s="103"/>
      <c r="AP682" s="104"/>
      <c r="AR682" s="104"/>
      <c r="AS682" s="43"/>
      <c r="AT682" s="104"/>
      <c r="AV682" s="104"/>
      <c r="AW682" s="102"/>
    </row>
    <row r="683" spans="14:49">
      <c r="N683" s="101"/>
      <c r="AN683" s="102"/>
      <c r="AO683" s="103"/>
      <c r="AP683" s="104"/>
      <c r="AR683" s="104"/>
      <c r="AS683" s="43"/>
      <c r="AT683" s="104"/>
      <c r="AV683" s="104"/>
      <c r="AW683" s="102"/>
    </row>
    <row r="684" spans="14:49">
      <c r="N684" s="101"/>
      <c r="AN684" s="102"/>
      <c r="AO684" s="103"/>
      <c r="AP684" s="104"/>
      <c r="AR684" s="104"/>
      <c r="AS684" s="43"/>
      <c r="AT684" s="104"/>
      <c r="AV684" s="104"/>
      <c r="AW684" s="102"/>
    </row>
    <row r="685" spans="14:49">
      <c r="N685" s="101"/>
      <c r="AN685" s="102"/>
      <c r="AO685" s="103"/>
      <c r="AP685" s="104"/>
      <c r="AR685" s="104"/>
      <c r="AS685" s="43"/>
      <c r="AT685" s="104"/>
      <c r="AV685" s="104"/>
      <c r="AW685" s="102"/>
    </row>
    <row r="686" spans="14:49">
      <c r="N686" s="101"/>
      <c r="AN686" s="102"/>
      <c r="AO686" s="103"/>
      <c r="AP686" s="104"/>
      <c r="AR686" s="104"/>
      <c r="AS686" s="43"/>
      <c r="AT686" s="104"/>
      <c r="AV686" s="104"/>
      <c r="AW686" s="102"/>
    </row>
    <row r="687" spans="14:49">
      <c r="N687" s="101"/>
      <c r="AN687" s="102"/>
      <c r="AO687" s="103"/>
      <c r="AP687" s="104"/>
      <c r="AR687" s="104"/>
      <c r="AS687" s="43"/>
      <c r="AT687" s="104"/>
      <c r="AV687" s="104"/>
      <c r="AW687" s="102"/>
    </row>
    <row r="688" spans="14:49">
      <c r="N688" s="101"/>
      <c r="AN688" s="102"/>
      <c r="AO688" s="103"/>
      <c r="AP688" s="104"/>
      <c r="AR688" s="104"/>
      <c r="AS688" s="43"/>
      <c r="AT688" s="104"/>
      <c r="AV688" s="104"/>
      <c r="AW688" s="102"/>
    </row>
    <row r="689" spans="14:49">
      <c r="N689" s="101"/>
      <c r="AN689" s="102"/>
      <c r="AO689" s="103"/>
      <c r="AP689" s="104"/>
      <c r="AR689" s="104"/>
      <c r="AS689" s="43"/>
      <c r="AT689" s="104"/>
      <c r="AV689" s="104"/>
      <c r="AW689" s="102"/>
    </row>
    <row r="690" spans="14:49">
      <c r="N690" s="101"/>
      <c r="AN690" s="102"/>
      <c r="AO690" s="103"/>
      <c r="AP690" s="104"/>
      <c r="AR690" s="104"/>
      <c r="AS690" s="43"/>
      <c r="AT690" s="104"/>
      <c r="AV690" s="104"/>
      <c r="AW690" s="102"/>
    </row>
    <row r="691" spans="14:49">
      <c r="N691" s="101"/>
      <c r="AN691" s="102"/>
      <c r="AO691" s="103"/>
      <c r="AP691" s="104"/>
      <c r="AR691" s="104"/>
      <c r="AS691" s="43"/>
      <c r="AT691" s="104"/>
      <c r="AV691" s="104"/>
      <c r="AW691" s="102"/>
    </row>
    <row r="692" spans="14:49">
      <c r="N692" s="101"/>
      <c r="AN692" s="102"/>
      <c r="AO692" s="103"/>
      <c r="AP692" s="104"/>
      <c r="AR692" s="104"/>
      <c r="AS692" s="43"/>
      <c r="AT692" s="104"/>
      <c r="AV692" s="104"/>
      <c r="AW692" s="102"/>
    </row>
    <row r="693" spans="14:49">
      <c r="N693" s="101"/>
      <c r="AN693" s="102"/>
      <c r="AO693" s="103"/>
      <c r="AP693" s="104"/>
      <c r="AR693" s="104"/>
      <c r="AS693" s="43"/>
      <c r="AT693" s="104"/>
      <c r="AV693" s="104"/>
      <c r="AW693" s="102"/>
    </row>
    <row r="694" spans="14:49">
      <c r="N694" s="101"/>
      <c r="AN694" s="102"/>
      <c r="AO694" s="103"/>
      <c r="AP694" s="104"/>
      <c r="AR694" s="104"/>
      <c r="AS694" s="43"/>
      <c r="AT694" s="104"/>
      <c r="AV694" s="104"/>
      <c r="AW694" s="102"/>
    </row>
    <row r="695" spans="14:49">
      <c r="N695" s="101"/>
      <c r="AN695" s="102"/>
      <c r="AO695" s="103"/>
      <c r="AP695" s="104"/>
      <c r="AR695" s="104"/>
      <c r="AS695" s="43"/>
      <c r="AT695" s="104"/>
      <c r="AV695" s="104"/>
      <c r="AW695" s="102"/>
    </row>
    <row r="696" spans="14:49">
      <c r="N696" s="101"/>
      <c r="AN696" s="102"/>
      <c r="AO696" s="103"/>
      <c r="AP696" s="104"/>
      <c r="AR696" s="104"/>
      <c r="AS696" s="43"/>
      <c r="AT696" s="104"/>
      <c r="AV696" s="104"/>
      <c r="AW696" s="102"/>
    </row>
    <row r="697" spans="14:49">
      <c r="N697" s="101"/>
      <c r="AN697" s="102"/>
      <c r="AO697" s="103"/>
      <c r="AP697" s="104"/>
      <c r="AR697" s="104"/>
      <c r="AS697" s="43"/>
      <c r="AT697" s="104"/>
      <c r="AV697" s="104"/>
      <c r="AW697" s="102"/>
    </row>
    <row r="698" spans="14:49">
      <c r="N698" s="101"/>
      <c r="AN698" s="102"/>
      <c r="AO698" s="103"/>
      <c r="AP698" s="104"/>
      <c r="AR698" s="104"/>
      <c r="AS698" s="43"/>
      <c r="AT698" s="104"/>
      <c r="AV698" s="104"/>
      <c r="AW698" s="102"/>
    </row>
    <row r="699" spans="14:49">
      <c r="N699" s="101"/>
      <c r="Y699" s="78"/>
      <c r="AN699" s="102"/>
      <c r="AO699" s="103"/>
      <c r="AP699" s="104"/>
      <c r="AR699" s="104"/>
      <c r="AS699" s="43"/>
      <c r="AT699" s="104"/>
      <c r="AV699" s="104"/>
      <c r="AW699" s="102"/>
    </row>
    <row r="700" spans="14:49">
      <c r="N700" s="101"/>
      <c r="AN700" s="102"/>
      <c r="AO700" s="103"/>
      <c r="AP700" s="104"/>
      <c r="AR700" s="104"/>
      <c r="AS700" s="43"/>
      <c r="AT700" s="104"/>
      <c r="AV700" s="104"/>
      <c r="AW700" s="102"/>
    </row>
    <row r="701" spans="14:49">
      <c r="N701" s="101"/>
      <c r="AN701" s="102"/>
      <c r="AO701" s="103"/>
      <c r="AP701" s="104"/>
      <c r="AR701" s="104"/>
      <c r="AS701" s="43"/>
      <c r="AT701" s="104"/>
      <c r="AV701" s="104"/>
      <c r="AW701" s="102"/>
    </row>
    <row r="702" spans="14:49">
      <c r="N702" s="101"/>
      <c r="AN702" s="102"/>
      <c r="AO702" s="103"/>
      <c r="AP702" s="104"/>
      <c r="AR702" s="104"/>
      <c r="AS702" s="43"/>
      <c r="AT702" s="104"/>
      <c r="AV702" s="104"/>
      <c r="AW702" s="102"/>
    </row>
    <row r="703" spans="14:49">
      <c r="N703" s="101"/>
      <c r="AN703" s="102"/>
      <c r="AO703" s="103"/>
      <c r="AP703" s="104"/>
      <c r="AR703" s="104"/>
      <c r="AS703" s="43"/>
      <c r="AT703" s="104"/>
      <c r="AV703" s="104"/>
      <c r="AW703" s="102"/>
    </row>
    <row r="704" spans="14:49">
      <c r="N704" s="101"/>
      <c r="AN704" s="102"/>
      <c r="AO704" s="103"/>
      <c r="AP704" s="104"/>
      <c r="AR704" s="104"/>
      <c r="AS704" s="43"/>
      <c r="AT704" s="104"/>
      <c r="AV704" s="104"/>
      <c r="AW704" s="102"/>
    </row>
    <row r="705" spans="14:49">
      <c r="N705" s="101"/>
      <c r="AN705" s="102"/>
      <c r="AO705" s="103"/>
      <c r="AP705" s="104"/>
      <c r="AR705" s="104"/>
      <c r="AS705" s="43"/>
      <c r="AT705" s="104"/>
      <c r="AV705" s="104"/>
      <c r="AW705" s="102"/>
    </row>
    <row r="706" spans="14:49">
      <c r="N706" s="101"/>
      <c r="AN706" s="102"/>
      <c r="AO706" s="103"/>
      <c r="AP706" s="104"/>
      <c r="AR706" s="104"/>
      <c r="AS706" s="43"/>
      <c r="AT706" s="104"/>
      <c r="AV706" s="104"/>
      <c r="AW706" s="102"/>
    </row>
    <row r="707" spans="14:49">
      <c r="N707" s="101"/>
      <c r="AN707" s="102"/>
      <c r="AO707" s="103"/>
      <c r="AP707" s="104"/>
      <c r="AR707" s="104"/>
      <c r="AS707" s="43"/>
      <c r="AT707" s="104"/>
      <c r="AV707" s="104"/>
      <c r="AW707" s="102"/>
    </row>
    <row r="708" spans="14:49">
      <c r="N708" s="101"/>
      <c r="AN708" s="102"/>
      <c r="AO708" s="103"/>
      <c r="AP708" s="104"/>
      <c r="AR708" s="104"/>
      <c r="AS708" s="43"/>
      <c r="AT708" s="104"/>
      <c r="AV708" s="104"/>
      <c r="AW708" s="102"/>
    </row>
    <row r="709" spans="14:49">
      <c r="N709" s="101"/>
      <c r="AN709" s="102"/>
      <c r="AO709" s="103"/>
      <c r="AP709" s="104"/>
      <c r="AR709" s="104"/>
      <c r="AS709" s="43"/>
      <c r="AT709" s="104"/>
      <c r="AV709" s="104"/>
      <c r="AW709" s="102"/>
    </row>
    <row r="710" spans="14:49">
      <c r="N710" s="101"/>
      <c r="AN710" s="102"/>
      <c r="AO710" s="103"/>
      <c r="AP710" s="104"/>
      <c r="AR710" s="104"/>
      <c r="AS710" s="43"/>
      <c r="AT710" s="104"/>
      <c r="AV710" s="104"/>
      <c r="AW710" s="102"/>
    </row>
    <row r="711" spans="14:49">
      <c r="N711" s="101"/>
      <c r="AN711" s="102"/>
      <c r="AO711" s="103"/>
      <c r="AP711" s="104"/>
      <c r="AR711" s="104"/>
      <c r="AS711" s="43"/>
      <c r="AT711" s="104"/>
      <c r="AV711" s="104"/>
      <c r="AW711" s="102"/>
    </row>
    <row r="712" spans="14:49">
      <c r="N712" s="101"/>
      <c r="AN712" s="102"/>
      <c r="AO712" s="103"/>
      <c r="AP712" s="104"/>
      <c r="AR712" s="104"/>
      <c r="AS712" s="43"/>
      <c r="AT712" s="104"/>
      <c r="AV712" s="104"/>
      <c r="AW712" s="102"/>
    </row>
    <row r="713" spans="14:49">
      <c r="N713" s="101"/>
      <c r="AN713" s="102"/>
      <c r="AO713" s="103"/>
      <c r="AP713" s="104"/>
      <c r="AR713" s="104"/>
      <c r="AS713" s="43"/>
      <c r="AT713" s="104"/>
      <c r="AV713" s="104"/>
      <c r="AW713" s="102"/>
    </row>
    <row r="714" spans="14:49">
      <c r="N714" s="101"/>
      <c r="AN714" s="102"/>
      <c r="AO714" s="103"/>
      <c r="AP714" s="104"/>
      <c r="AR714" s="104"/>
      <c r="AS714" s="43"/>
      <c r="AT714" s="104"/>
      <c r="AV714" s="104"/>
      <c r="AW714" s="102"/>
    </row>
    <row r="715" spans="14:49">
      <c r="N715" s="101"/>
      <c r="AN715" s="102"/>
      <c r="AO715" s="103"/>
      <c r="AP715" s="104"/>
      <c r="AR715" s="104"/>
      <c r="AS715" s="43"/>
      <c r="AT715" s="104"/>
      <c r="AV715" s="104"/>
      <c r="AW715" s="102"/>
    </row>
    <row r="716" spans="14:49">
      <c r="N716" s="101"/>
      <c r="AN716" s="102"/>
      <c r="AO716" s="103"/>
      <c r="AP716" s="104"/>
      <c r="AR716" s="104"/>
      <c r="AS716" s="43"/>
      <c r="AT716" s="104"/>
      <c r="AV716" s="104"/>
      <c r="AW716" s="102"/>
    </row>
    <row r="717" spans="14:49">
      <c r="N717" s="101"/>
      <c r="AN717" s="102"/>
      <c r="AO717" s="103"/>
      <c r="AP717" s="104"/>
      <c r="AR717" s="104"/>
      <c r="AS717" s="43"/>
      <c r="AT717" s="104"/>
      <c r="AV717" s="104"/>
      <c r="AW717" s="102"/>
    </row>
    <row r="718" spans="14:49">
      <c r="N718" s="101"/>
      <c r="AN718" s="102"/>
      <c r="AO718" s="103"/>
      <c r="AP718" s="104"/>
      <c r="AR718" s="104"/>
      <c r="AS718" s="43"/>
      <c r="AT718" s="104"/>
      <c r="AV718" s="104"/>
      <c r="AW718" s="102"/>
    </row>
    <row r="719" spans="14:49">
      <c r="N719" s="101"/>
      <c r="AN719" s="102"/>
      <c r="AO719" s="103"/>
      <c r="AP719" s="104"/>
      <c r="AR719" s="104"/>
      <c r="AS719" s="43"/>
      <c r="AT719" s="104"/>
      <c r="AV719" s="104"/>
      <c r="AW719" s="102"/>
    </row>
    <row r="720" spans="14:49">
      <c r="N720" s="101"/>
      <c r="AN720" s="102"/>
      <c r="AO720" s="103"/>
      <c r="AP720" s="104"/>
      <c r="AR720" s="104"/>
      <c r="AS720" s="43"/>
      <c r="AT720" s="104"/>
      <c r="AV720" s="104"/>
      <c r="AW720" s="102"/>
    </row>
    <row r="721" spans="14:49">
      <c r="N721" s="101"/>
      <c r="AN721" s="102"/>
      <c r="AO721" s="103"/>
      <c r="AP721" s="104"/>
      <c r="AR721" s="104"/>
      <c r="AS721" s="43"/>
      <c r="AT721" s="104"/>
      <c r="AV721" s="104"/>
      <c r="AW721" s="102"/>
    </row>
    <row r="722" spans="14:49">
      <c r="N722" s="101"/>
      <c r="AN722" s="102"/>
      <c r="AO722" s="103"/>
      <c r="AP722" s="104"/>
      <c r="AR722" s="104"/>
      <c r="AS722" s="43"/>
      <c r="AT722" s="104"/>
      <c r="AV722" s="104"/>
      <c r="AW722" s="102"/>
    </row>
    <row r="723" spans="14:49">
      <c r="N723" s="101"/>
      <c r="AN723" s="102"/>
      <c r="AO723" s="103"/>
      <c r="AP723" s="104"/>
      <c r="AR723" s="104"/>
      <c r="AS723" s="43"/>
      <c r="AT723" s="104"/>
      <c r="AV723" s="104"/>
      <c r="AW723" s="102"/>
    </row>
    <row r="724" spans="14:49">
      <c r="N724" s="101"/>
      <c r="AN724" s="102"/>
      <c r="AO724" s="103"/>
      <c r="AP724" s="104"/>
      <c r="AR724" s="104"/>
      <c r="AS724" s="43"/>
      <c r="AT724" s="104"/>
      <c r="AV724" s="104"/>
      <c r="AW724" s="102"/>
    </row>
    <row r="725" spans="14:49">
      <c r="N725" s="101"/>
      <c r="AN725" s="102"/>
      <c r="AO725" s="103"/>
      <c r="AP725" s="104"/>
      <c r="AR725" s="104"/>
      <c r="AS725" s="43"/>
      <c r="AT725" s="104"/>
      <c r="AV725" s="104"/>
      <c r="AW725" s="102"/>
    </row>
    <row r="726" spans="14:49">
      <c r="N726" s="101"/>
      <c r="AN726" s="102"/>
      <c r="AO726" s="103"/>
      <c r="AP726" s="104"/>
      <c r="AR726" s="104"/>
      <c r="AS726" s="43"/>
      <c r="AT726" s="104"/>
      <c r="AV726" s="104"/>
      <c r="AW726" s="102"/>
    </row>
    <row r="727" spans="14:49">
      <c r="N727" s="101"/>
      <c r="AN727" s="102"/>
      <c r="AO727" s="103"/>
      <c r="AP727" s="104"/>
      <c r="AR727" s="104"/>
      <c r="AS727" s="43"/>
      <c r="AT727" s="104"/>
      <c r="AV727" s="104"/>
      <c r="AW727" s="102"/>
    </row>
    <row r="728" spans="14:49">
      <c r="N728" s="101"/>
      <c r="AN728" s="102"/>
      <c r="AO728" s="103"/>
      <c r="AP728" s="104"/>
      <c r="AR728" s="104"/>
      <c r="AS728" s="43"/>
      <c r="AT728" s="104"/>
      <c r="AV728" s="104"/>
      <c r="AW728" s="102"/>
    </row>
    <row r="729" spans="14:49">
      <c r="N729" s="101"/>
      <c r="AN729" s="102"/>
      <c r="AO729" s="103"/>
      <c r="AP729" s="104"/>
      <c r="AR729" s="104"/>
      <c r="AS729" s="43"/>
      <c r="AT729" s="104"/>
      <c r="AV729" s="104"/>
      <c r="AW729" s="102"/>
    </row>
    <row r="730" spans="14:49">
      <c r="N730" s="101"/>
      <c r="AN730" s="102"/>
      <c r="AO730" s="103"/>
      <c r="AP730" s="104"/>
      <c r="AR730" s="104"/>
      <c r="AS730" s="43"/>
      <c r="AT730" s="104"/>
      <c r="AV730" s="104"/>
      <c r="AW730" s="102"/>
    </row>
    <row r="731" spans="14:49">
      <c r="N731" s="101"/>
      <c r="AN731" s="102"/>
      <c r="AO731" s="103"/>
      <c r="AP731" s="104"/>
      <c r="AR731" s="104"/>
      <c r="AS731" s="43"/>
      <c r="AT731" s="104"/>
      <c r="AV731" s="104"/>
      <c r="AW731" s="102"/>
    </row>
    <row r="732" spans="14:49">
      <c r="N732" s="101"/>
      <c r="AN732" s="102"/>
      <c r="AO732" s="103"/>
      <c r="AP732" s="104"/>
      <c r="AR732" s="104"/>
      <c r="AS732" s="43"/>
      <c r="AT732" s="104"/>
      <c r="AV732" s="104"/>
      <c r="AW732" s="102"/>
    </row>
    <row r="733" spans="14:49">
      <c r="N733" s="101"/>
      <c r="AN733" s="102"/>
      <c r="AO733" s="103"/>
      <c r="AP733" s="104"/>
      <c r="AR733" s="104"/>
      <c r="AS733" s="43"/>
      <c r="AT733" s="104"/>
      <c r="AV733" s="104"/>
      <c r="AW733" s="102"/>
    </row>
    <row r="734" spans="14:49">
      <c r="N734" s="101"/>
      <c r="AN734" s="102"/>
      <c r="AO734" s="103"/>
      <c r="AP734" s="104"/>
      <c r="AR734" s="104"/>
      <c r="AS734" s="43"/>
      <c r="AT734" s="104"/>
      <c r="AV734" s="104"/>
      <c r="AW734" s="102"/>
    </row>
    <row r="735" spans="14:49">
      <c r="N735" s="101"/>
      <c r="AN735" s="102"/>
      <c r="AO735" s="103"/>
      <c r="AP735" s="104"/>
      <c r="AR735" s="104"/>
      <c r="AS735" s="43"/>
      <c r="AT735" s="104"/>
      <c r="AV735" s="104"/>
      <c r="AW735" s="102"/>
    </row>
    <row r="736" spans="14:49">
      <c r="N736" s="101"/>
      <c r="AN736" s="102"/>
      <c r="AO736" s="103"/>
      <c r="AP736" s="104"/>
      <c r="AR736" s="104"/>
      <c r="AS736" s="43"/>
      <c r="AT736" s="104"/>
      <c r="AV736" s="104"/>
      <c r="AW736" s="102"/>
    </row>
    <row r="737" spans="14:49">
      <c r="N737" s="101"/>
      <c r="AN737" s="102"/>
      <c r="AO737" s="103"/>
      <c r="AP737" s="104"/>
      <c r="AR737" s="104"/>
      <c r="AS737" s="43"/>
      <c r="AT737" s="104"/>
      <c r="AV737" s="104"/>
      <c r="AW737" s="102"/>
    </row>
    <row r="738" spans="14:49">
      <c r="N738" s="101"/>
      <c r="AN738" s="102"/>
      <c r="AO738" s="103"/>
      <c r="AP738" s="104"/>
      <c r="AR738" s="104"/>
      <c r="AS738" s="43"/>
      <c r="AT738" s="104"/>
      <c r="AV738" s="104"/>
      <c r="AW738" s="102"/>
    </row>
    <row r="739" spans="14:49">
      <c r="N739" s="101"/>
      <c r="AN739" s="102"/>
      <c r="AO739" s="103"/>
      <c r="AP739" s="104"/>
      <c r="AR739" s="104"/>
      <c r="AS739" s="43"/>
      <c r="AT739" s="104"/>
      <c r="AV739" s="104"/>
      <c r="AW739" s="102"/>
    </row>
    <row r="740" spans="14:49">
      <c r="N740" s="101"/>
      <c r="Y740" s="78"/>
      <c r="AN740" s="102"/>
      <c r="AO740" s="103"/>
      <c r="AP740" s="104"/>
      <c r="AR740" s="104"/>
      <c r="AS740" s="43"/>
      <c r="AT740" s="104"/>
      <c r="AV740" s="104"/>
      <c r="AW740" s="102"/>
    </row>
    <row r="741" spans="14:49">
      <c r="N741" s="101"/>
      <c r="AN741" s="102"/>
      <c r="AO741" s="103"/>
      <c r="AP741" s="104"/>
      <c r="AR741" s="104"/>
      <c r="AS741" s="43"/>
      <c r="AT741" s="104"/>
      <c r="AV741" s="104"/>
      <c r="AW741" s="102"/>
    </row>
    <row r="742" spans="14:49">
      <c r="N742" s="101"/>
      <c r="AN742" s="102"/>
      <c r="AO742" s="103"/>
      <c r="AP742" s="104"/>
      <c r="AR742" s="104"/>
      <c r="AS742" s="43"/>
      <c r="AT742" s="104"/>
      <c r="AV742" s="104"/>
      <c r="AW742" s="102"/>
    </row>
    <row r="743" spans="14:49">
      <c r="N743" s="101"/>
      <c r="AN743" s="102"/>
      <c r="AO743" s="103"/>
      <c r="AP743" s="104"/>
      <c r="AR743" s="104"/>
      <c r="AS743" s="43"/>
      <c r="AT743" s="104"/>
      <c r="AV743" s="104"/>
      <c r="AW743" s="102"/>
    </row>
    <row r="744" spans="14:49">
      <c r="N744" s="101"/>
      <c r="AN744" s="102"/>
      <c r="AO744" s="103"/>
      <c r="AP744" s="104"/>
      <c r="AR744" s="104"/>
      <c r="AS744" s="43"/>
      <c r="AT744" s="104"/>
      <c r="AV744" s="104"/>
      <c r="AW744" s="102"/>
    </row>
    <row r="745" spans="14:49">
      <c r="N745" s="101"/>
      <c r="AN745" s="102"/>
      <c r="AO745" s="103"/>
      <c r="AP745" s="104"/>
      <c r="AR745" s="104"/>
      <c r="AS745" s="43"/>
      <c r="AT745" s="104"/>
      <c r="AV745" s="104"/>
      <c r="AW745" s="102"/>
    </row>
    <row r="746" spans="14:49">
      <c r="N746" s="101"/>
      <c r="AN746" s="102"/>
      <c r="AO746" s="103"/>
      <c r="AP746" s="104"/>
      <c r="AR746" s="104"/>
      <c r="AS746" s="43"/>
      <c r="AT746" s="104"/>
      <c r="AV746" s="104"/>
      <c r="AW746" s="102"/>
    </row>
    <row r="747" spans="14:49">
      <c r="N747" s="101"/>
      <c r="AN747" s="102"/>
      <c r="AO747" s="103"/>
      <c r="AP747" s="104"/>
      <c r="AR747" s="104"/>
      <c r="AS747" s="43"/>
      <c r="AT747" s="104"/>
      <c r="AV747" s="104"/>
      <c r="AW747" s="102"/>
    </row>
    <row r="748" spans="14:49">
      <c r="N748" s="101"/>
      <c r="AN748" s="102"/>
      <c r="AO748" s="103"/>
      <c r="AP748" s="104"/>
      <c r="AR748" s="104"/>
      <c r="AS748" s="43"/>
      <c r="AT748" s="104"/>
      <c r="AV748" s="104"/>
      <c r="AW748" s="102"/>
    </row>
    <row r="749" spans="14:49">
      <c r="N749" s="101"/>
      <c r="AN749" s="102"/>
      <c r="AO749" s="103"/>
      <c r="AP749" s="104"/>
      <c r="AR749" s="104"/>
      <c r="AS749" s="43"/>
      <c r="AT749" s="104"/>
      <c r="AV749" s="104"/>
      <c r="AW749" s="102"/>
    </row>
    <row r="750" spans="14:49">
      <c r="N750" s="101"/>
      <c r="AN750" s="102"/>
      <c r="AO750" s="103"/>
      <c r="AP750" s="104"/>
      <c r="AR750" s="104"/>
      <c r="AS750" s="43"/>
      <c r="AT750" s="104"/>
      <c r="AV750" s="104"/>
      <c r="AW750" s="102"/>
    </row>
    <row r="751" spans="14:49">
      <c r="N751" s="101"/>
      <c r="AN751" s="102"/>
      <c r="AO751" s="103"/>
      <c r="AP751" s="104"/>
      <c r="AR751" s="104"/>
      <c r="AS751" s="43"/>
      <c r="AT751" s="104"/>
      <c r="AV751" s="104"/>
      <c r="AW751" s="102"/>
    </row>
    <row r="752" spans="14:49">
      <c r="N752" s="101"/>
      <c r="AN752" s="102"/>
      <c r="AO752" s="103"/>
      <c r="AP752" s="104"/>
      <c r="AR752" s="104"/>
      <c r="AS752" s="43"/>
      <c r="AT752" s="104"/>
      <c r="AV752" s="104"/>
      <c r="AW752" s="102"/>
    </row>
    <row r="753" spans="14:49">
      <c r="N753" s="101"/>
      <c r="AN753" s="102"/>
      <c r="AO753" s="103"/>
      <c r="AP753" s="104"/>
      <c r="AR753" s="104"/>
      <c r="AS753" s="43"/>
      <c r="AT753" s="104"/>
      <c r="AV753" s="104"/>
      <c r="AW753" s="102"/>
    </row>
    <row r="754" spans="14:49">
      <c r="N754" s="101"/>
      <c r="AN754" s="102"/>
      <c r="AO754" s="103"/>
      <c r="AP754" s="104"/>
      <c r="AR754" s="104"/>
      <c r="AS754" s="43"/>
      <c r="AT754" s="104"/>
      <c r="AV754" s="104"/>
      <c r="AW754" s="102"/>
    </row>
    <row r="755" spans="14:49">
      <c r="N755" s="101"/>
      <c r="AN755" s="102"/>
      <c r="AO755" s="103"/>
      <c r="AP755" s="104"/>
      <c r="AR755" s="104"/>
      <c r="AS755" s="43"/>
      <c r="AT755" s="104"/>
      <c r="AV755" s="104"/>
      <c r="AW755" s="102"/>
    </row>
    <row r="756" spans="14:49">
      <c r="N756" s="101"/>
      <c r="AN756" s="102"/>
      <c r="AO756" s="103"/>
      <c r="AP756" s="104"/>
      <c r="AR756" s="104"/>
      <c r="AS756" s="43"/>
      <c r="AT756" s="104"/>
      <c r="AV756" s="104"/>
      <c r="AW756" s="102"/>
    </row>
    <row r="757" spans="14:49">
      <c r="N757" s="101"/>
      <c r="AN757" s="102"/>
      <c r="AO757" s="103"/>
      <c r="AP757" s="104"/>
      <c r="AR757" s="104"/>
      <c r="AS757" s="43"/>
      <c r="AT757" s="104"/>
      <c r="AV757" s="104"/>
      <c r="AW757" s="102"/>
    </row>
    <row r="758" spans="14:49">
      <c r="N758" s="101"/>
      <c r="AN758" s="102"/>
      <c r="AO758" s="103"/>
      <c r="AP758" s="104"/>
      <c r="AR758" s="104"/>
      <c r="AS758" s="43"/>
      <c r="AT758" s="104"/>
      <c r="AV758" s="104"/>
      <c r="AW758" s="102"/>
    </row>
    <row r="759" spans="14:49">
      <c r="N759" s="101"/>
      <c r="AN759" s="102"/>
      <c r="AO759" s="103"/>
      <c r="AP759" s="104"/>
      <c r="AR759" s="104"/>
      <c r="AS759" s="43"/>
      <c r="AT759" s="104"/>
      <c r="AV759" s="104"/>
      <c r="AW759" s="102"/>
    </row>
    <row r="760" spans="14:49">
      <c r="N760" s="101"/>
      <c r="AN760" s="102"/>
      <c r="AO760" s="103"/>
      <c r="AP760" s="104"/>
      <c r="AR760" s="104"/>
      <c r="AS760" s="43"/>
      <c r="AT760" s="104"/>
      <c r="AV760" s="104"/>
      <c r="AW760" s="102"/>
    </row>
    <row r="761" spans="14:49">
      <c r="N761" s="101"/>
      <c r="AN761" s="102"/>
      <c r="AO761" s="103"/>
      <c r="AP761" s="104"/>
      <c r="AR761" s="104"/>
      <c r="AS761" s="43"/>
      <c r="AT761" s="104"/>
      <c r="AV761" s="104"/>
      <c r="AW761" s="102"/>
    </row>
    <row r="762" spans="14:49">
      <c r="N762" s="101"/>
      <c r="AN762" s="102"/>
      <c r="AO762" s="103"/>
      <c r="AP762" s="104"/>
      <c r="AR762" s="104"/>
      <c r="AS762" s="43"/>
      <c r="AT762" s="104"/>
      <c r="AV762" s="104"/>
      <c r="AW762" s="102"/>
    </row>
    <row r="763" spans="14:49">
      <c r="N763" s="101"/>
      <c r="AN763" s="102"/>
      <c r="AO763" s="103"/>
      <c r="AP763" s="104"/>
      <c r="AR763" s="104"/>
      <c r="AS763" s="43"/>
      <c r="AT763" s="104"/>
      <c r="AV763" s="104"/>
      <c r="AW763" s="102"/>
    </row>
    <row r="764" spans="14:49">
      <c r="N764" s="101"/>
      <c r="AN764" s="102"/>
      <c r="AO764" s="103"/>
      <c r="AP764" s="104"/>
      <c r="AR764" s="104"/>
      <c r="AS764" s="43"/>
      <c r="AT764" s="104"/>
      <c r="AV764" s="104"/>
      <c r="AW764" s="102"/>
    </row>
    <row r="765" spans="14:49">
      <c r="N765" s="101"/>
      <c r="AN765" s="102"/>
      <c r="AO765" s="103"/>
      <c r="AP765" s="104"/>
      <c r="AR765" s="104"/>
      <c r="AS765" s="43"/>
      <c r="AT765" s="104"/>
      <c r="AV765" s="104"/>
      <c r="AW765" s="102"/>
    </row>
    <row r="766" spans="14:49">
      <c r="N766" s="101"/>
      <c r="AN766" s="102"/>
      <c r="AO766" s="103"/>
      <c r="AP766" s="104"/>
      <c r="AR766" s="104"/>
      <c r="AS766" s="43"/>
      <c r="AT766" s="104"/>
      <c r="AV766" s="104"/>
      <c r="AW766" s="102"/>
    </row>
    <row r="767" spans="14:49">
      <c r="N767" s="101"/>
      <c r="AN767" s="102"/>
      <c r="AO767" s="103"/>
      <c r="AP767" s="104"/>
      <c r="AR767" s="104"/>
      <c r="AS767" s="43"/>
      <c r="AT767" s="104"/>
      <c r="AV767" s="104"/>
      <c r="AW767" s="102"/>
    </row>
    <row r="768" spans="14:49">
      <c r="N768" s="101"/>
      <c r="AN768" s="102"/>
      <c r="AO768" s="103"/>
      <c r="AP768" s="104"/>
      <c r="AR768" s="104"/>
      <c r="AS768" s="43"/>
      <c r="AT768" s="104"/>
      <c r="AV768" s="104"/>
      <c r="AW768" s="102"/>
    </row>
    <row r="769" spans="14:49">
      <c r="N769" s="101"/>
      <c r="AN769" s="102"/>
      <c r="AO769" s="103"/>
      <c r="AP769" s="104"/>
      <c r="AR769" s="104"/>
      <c r="AS769" s="43"/>
      <c r="AT769" s="104"/>
      <c r="AV769" s="104"/>
      <c r="AW769" s="102"/>
    </row>
    <row r="770" spans="14:49">
      <c r="N770" s="101"/>
      <c r="AN770" s="102"/>
      <c r="AO770" s="103"/>
      <c r="AP770" s="104"/>
      <c r="AR770" s="104"/>
      <c r="AS770" s="43"/>
      <c r="AT770" s="104"/>
      <c r="AV770" s="104"/>
      <c r="AW770" s="102"/>
    </row>
    <row r="771" spans="14:49">
      <c r="N771" s="101"/>
      <c r="AN771" s="102"/>
      <c r="AO771" s="103"/>
      <c r="AP771" s="104"/>
      <c r="AR771" s="104"/>
      <c r="AS771" s="43"/>
      <c r="AT771" s="104"/>
      <c r="AV771" s="104"/>
      <c r="AW771" s="102"/>
    </row>
    <row r="772" spans="14:49">
      <c r="N772" s="101"/>
      <c r="AN772" s="102"/>
      <c r="AO772" s="103"/>
      <c r="AP772" s="104"/>
      <c r="AR772" s="104"/>
      <c r="AS772" s="43"/>
      <c r="AT772" s="104"/>
      <c r="AV772" s="104"/>
      <c r="AW772" s="102"/>
    </row>
    <row r="773" spans="14:49">
      <c r="N773" s="101"/>
      <c r="AN773" s="102"/>
      <c r="AO773" s="103"/>
      <c r="AP773" s="104"/>
      <c r="AR773" s="104"/>
      <c r="AS773" s="43"/>
      <c r="AT773" s="104"/>
      <c r="AV773" s="104"/>
      <c r="AW773" s="102"/>
    </row>
    <row r="774" spans="14:49">
      <c r="N774" s="101"/>
      <c r="AN774" s="102"/>
      <c r="AO774" s="103"/>
      <c r="AP774" s="104"/>
      <c r="AR774" s="104"/>
      <c r="AS774" s="43"/>
      <c r="AT774" s="104"/>
      <c r="AV774" s="104"/>
      <c r="AW774" s="102"/>
    </row>
    <row r="775" spans="14:49">
      <c r="N775" s="101"/>
      <c r="AN775" s="102"/>
      <c r="AO775" s="103"/>
      <c r="AP775" s="104"/>
      <c r="AR775" s="104"/>
      <c r="AS775" s="43"/>
      <c r="AT775" s="104"/>
      <c r="AV775" s="104"/>
      <c r="AW775" s="102"/>
    </row>
    <row r="776" spans="14:49">
      <c r="N776" s="101"/>
      <c r="AN776" s="102"/>
      <c r="AO776" s="103"/>
      <c r="AP776" s="104"/>
      <c r="AR776" s="104"/>
      <c r="AS776" s="43"/>
      <c r="AT776" s="104"/>
      <c r="AV776" s="104"/>
      <c r="AW776" s="102"/>
    </row>
    <row r="777" spans="14:49">
      <c r="N777" s="101"/>
      <c r="AN777" s="102"/>
      <c r="AO777" s="103"/>
      <c r="AP777" s="104"/>
      <c r="AR777" s="104"/>
      <c r="AS777" s="43"/>
      <c r="AT777" s="104"/>
      <c r="AV777" s="104"/>
      <c r="AW777" s="102"/>
    </row>
    <row r="778" spans="14:49">
      <c r="N778" s="101"/>
      <c r="AN778" s="102"/>
      <c r="AO778" s="103"/>
      <c r="AP778" s="104"/>
      <c r="AR778" s="104"/>
      <c r="AS778" s="43"/>
      <c r="AT778" s="104"/>
      <c r="AV778" s="104"/>
      <c r="AW778" s="102"/>
    </row>
    <row r="779" spans="14:49">
      <c r="N779" s="101"/>
      <c r="AN779" s="102"/>
      <c r="AO779" s="103"/>
      <c r="AP779" s="104"/>
      <c r="AR779" s="104"/>
      <c r="AS779" s="43"/>
      <c r="AT779" s="104"/>
      <c r="AV779" s="104"/>
      <c r="AW779" s="102"/>
    </row>
    <row r="780" spans="14:49">
      <c r="N780" s="101"/>
      <c r="AN780" s="102"/>
      <c r="AO780" s="103"/>
      <c r="AP780" s="104"/>
      <c r="AR780" s="104"/>
      <c r="AS780" s="43"/>
      <c r="AT780" s="104"/>
      <c r="AV780" s="104"/>
      <c r="AW780" s="102"/>
    </row>
    <row r="781" spans="14:49">
      <c r="N781" s="101"/>
      <c r="Y781" s="78"/>
      <c r="AN781" s="102"/>
      <c r="AO781" s="103"/>
      <c r="AP781" s="104"/>
      <c r="AR781" s="104"/>
      <c r="AS781" s="43"/>
      <c r="AT781" s="104"/>
      <c r="AV781" s="104"/>
      <c r="AW781" s="102"/>
    </row>
    <row r="782" spans="14:49">
      <c r="N782" s="101"/>
      <c r="AN782" s="102"/>
      <c r="AO782" s="103"/>
      <c r="AP782" s="104"/>
      <c r="AR782" s="104"/>
      <c r="AS782" s="43"/>
      <c r="AT782" s="104"/>
      <c r="AV782" s="104"/>
      <c r="AW782" s="102"/>
    </row>
    <row r="783" spans="14:49">
      <c r="N783" s="101"/>
      <c r="AN783" s="102"/>
      <c r="AO783" s="103"/>
      <c r="AP783" s="104"/>
      <c r="AR783" s="104"/>
      <c r="AS783" s="43"/>
      <c r="AT783" s="104"/>
      <c r="AV783" s="104"/>
      <c r="AW783" s="102"/>
    </row>
    <row r="784" spans="14:49">
      <c r="N784" s="101"/>
      <c r="AN784" s="102"/>
      <c r="AO784" s="103"/>
      <c r="AP784" s="104"/>
      <c r="AR784" s="104"/>
      <c r="AS784" s="43"/>
      <c r="AT784" s="104"/>
      <c r="AV784" s="104"/>
      <c r="AW784" s="102"/>
    </row>
    <row r="785" spans="14:49">
      <c r="N785" s="101"/>
      <c r="AN785" s="102"/>
      <c r="AO785" s="103"/>
      <c r="AP785" s="104"/>
      <c r="AR785" s="104"/>
      <c r="AS785" s="43"/>
      <c r="AT785" s="104"/>
      <c r="AV785" s="104"/>
      <c r="AW785" s="102"/>
    </row>
    <row r="786" spans="14:49">
      <c r="N786" s="101"/>
      <c r="AN786" s="102"/>
      <c r="AO786" s="103"/>
      <c r="AP786" s="104"/>
      <c r="AR786" s="104"/>
      <c r="AS786" s="43"/>
      <c r="AT786" s="104"/>
      <c r="AV786" s="104"/>
      <c r="AW786" s="102"/>
    </row>
    <row r="787" spans="14:49">
      <c r="N787" s="101"/>
      <c r="AN787" s="102"/>
      <c r="AO787" s="103"/>
      <c r="AP787" s="104"/>
      <c r="AR787" s="104"/>
      <c r="AS787" s="43"/>
      <c r="AT787" s="104"/>
      <c r="AV787" s="104"/>
      <c r="AW787" s="102"/>
    </row>
    <row r="788" spans="14:49">
      <c r="N788" s="101"/>
      <c r="AN788" s="102"/>
      <c r="AO788" s="103"/>
      <c r="AP788" s="104"/>
      <c r="AR788" s="104"/>
      <c r="AS788" s="43"/>
      <c r="AT788" s="104"/>
      <c r="AV788" s="104"/>
      <c r="AW788" s="102"/>
    </row>
    <row r="789" spans="14:49">
      <c r="N789" s="101"/>
      <c r="AN789" s="102"/>
      <c r="AO789" s="103"/>
      <c r="AP789" s="104"/>
      <c r="AR789" s="104"/>
      <c r="AS789" s="43"/>
      <c r="AT789" s="104"/>
      <c r="AV789" s="104"/>
      <c r="AW789" s="102"/>
    </row>
    <row r="790" spans="14:49">
      <c r="N790" s="101"/>
      <c r="AN790" s="102"/>
      <c r="AO790" s="103"/>
      <c r="AP790" s="104"/>
      <c r="AR790" s="104"/>
      <c r="AS790" s="43"/>
      <c r="AT790" s="104"/>
      <c r="AV790" s="104"/>
      <c r="AW790" s="102"/>
    </row>
    <row r="791" spans="14:49">
      <c r="N791" s="101"/>
      <c r="AN791" s="102"/>
      <c r="AO791" s="103"/>
      <c r="AP791" s="104"/>
      <c r="AR791" s="104"/>
      <c r="AS791" s="43"/>
      <c r="AT791" s="104"/>
      <c r="AV791" s="104"/>
      <c r="AW791" s="102"/>
    </row>
    <row r="792" spans="14:49">
      <c r="N792" s="101"/>
      <c r="AN792" s="102"/>
      <c r="AO792" s="103"/>
      <c r="AP792" s="104"/>
      <c r="AR792" s="104"/>
      <c r="AS792" s="43"/>
      <c r="AT792" s="104"/>
      <c r="AV792" s="104"/>
      <c r="AW792" s="102"/>
    </row>
    <row r="793" spans="14:49">
      <c r="N793" s="101"/>
      <c r="AN793" s="102"/>
      <c r="AO793" s="103"/>
      <c r="AP793" s="104"/>
      <c r="AR793" s="104"/>
      <c r="AS793" s="43"/>
      <c r="AT793" s="104"/>
      <c r="AV793" s="104"/>
      <c r="AW793" s="102"/>
    </row>
    <row r="794" spans="14:49">
      <c r="N794" s="101"/>
      <c r="AN794" s="102"/>
      <c r="AO794" s="103"/>
      <c r="AP794" s="104"/>
      <c r="AR794" s="104"/>
      <c r="AS794" s="43"/>
      <c r="AT794" s="104"/>
      <c r="AV794" s="104"/>
      <c r="AW794" s="102"/>
    </row>
    <row r="795" spans="14:49">
      <c r="N795" s="101"/>
      <c r="AN795" s="102"/>
      <c r="AO795" s="103"/>
      <c r="AP795" s="104"/>
      <c r="AR795" s="104"/>
      <c r="AS795" s="43"/>
      <c r="AT795" s="104"/>
      <c r="AV795" s="104"/>
      <c r="AW795" s="102"/>
    </row>
    <row r="796" spans="14:49">
      <c r="N796" s="101"/>
      <c r="AN796" s="102"/>
      <c r="AO796" s="103"/>
      <c r="AP796" s="104"/>
      <c r="AR796" s="104"/>
      <c r="AS796" s="43"/>
      <c r="AT796" s="104"/>
      <c r="AV796" s="104"/>
      <c r="AW796" s="102"/>
    </row>
    <row r="797" spans="14:49">
      <c r="N797" s="101"/>
      <c r="AN797" s="102"/>
      <c r="AO797" s="103"/>
      <c r="AP797" s="104"/>
      <c r="AR797" s="104"/>
      <c r="AS797" s="43"/>
      <c r="AT797" s="104"/>
      <c r="AV797" s="104"/>
      <c r="AW797" s="102"/>
    </row>
    <row r="798" spans="14:49">
      <c r="N798" s="101"/>
      <c r="AN798" s="102"/>
      <c r="AO798" s="103"/>
      <c r="AP798" s="104"/>
      <c r="AR798" s="104"/>
      <c r="AS798" s="43"/>
      <c r="AT798" s="104"/>
      <c r="AV798" s="104"/>
      <c r="AW798" s="102"/>
    </row>
    <row r="799" spans="14:49">
      <c r="N799" s="101"/>
      <c r="AN799" s="102"/>
      <c r="AO799" s="103"/>
      <c r="AP799" s="104"/>
      <c r="AR799" s="104"/>
      <c r="AS799" s="43"/>
      <c r="AT799" s="104"/>
      <c r="AV799" s="104"/>
      <c r="AW799" s="102"/>
    </row>
    <row r="800" spans="14:49">
      <c r="N800" s="101"/>
      <c r="AN800" s="102"/>
      <c r="AO800" s="103"/>
      <c r="AP800" s="104"/>
      <c r="AR800" s="104"/>
      <c r="AS800" s="43"/>
      <c r="AT800" s="104"/>
      <c r="AV800" s="104"/>
      <c r="AW800" s="102"/>
    </row>
    <row r="801" spans="14:49">
      <c r="N801" s="101"/>
      <c r="AN801" s="102"/>
      <c r="AO801" s="103"/>
      <c r="AP801" s="104"/>
      <c r="AR801" s="104"/>
      <c r="AS801" s="43"/>
      <c r="AT801" s="104"/>
      <c r="AV801" s="104"/>
      <c r="AW801" s="102"/>
    </row>
    <row r="802" spans="14:49">
      <c r="N802" s="101"/>
      <c r="AN802" s="102"/>
      <c r="AO802" s="103"/>
      <c r="AP802" s="104"/>
      <c r="AR802" s="104"/>
      <c r="AS802" s="43"/>
      <c r="AT802" s="104"/>
      <c r="AV802" s="104"/>
      <c r="AW802" s="102"/>
    </row>
    <row r="803" spans="14:49">
      <c r="N803" s="101"/>
      <c r="AN803" s="102"/>
      <c r="AO803" s="103"/>
      <c r="AP803" s="104"/>
      <c r="AR803" s="104"/>
      <c r="AS803" s="43"/>
      <c r="AT803" s="104"/>
      <c r="AV803" s="104"/>
      <c r="AW803" s="102"/>
    </row>
    <row r="804" spans="14:49">
      <c r="N804" s="101"/>
      <c r="AN804" s="102"/>
      <c r="AO804" s="103"/>
      <c r="AP804" s="104"/>
      <c r="AR804" s="104"/>
      <c r="AS804" s="43"/>
      <c r="AT804" s="104"/>
      <c r="AV804" s="104"/>
      <c r="AW804" s="102"/>
    </row>
    <row r="805" spans="14:49">
      <c r="N805" s="101"/>
      <c r="AN805" s="102"/>
      <c r="AO805" s="103"/>
      <c r="AP805" s="104"/>
      <c r="AR805" s="104"/>
      <c r="AS805" s="43"/>
      <c r="AT805" s="104"/>
      <c r="AV805" s="104"/>
      <c r="AW805" s="102"/>
    </row>
    <row r="806" spans="14:49">
      <c r="N806" s="101"/>
      <c r="AN806" s="102"/>
      <c r="AO806" s="103"/>
      <c r="AP806" s="104"/>
      <c r="AR806" s="104"/>
      <c r="AS806" s="43"/>
      <c r="AT806" s="104"/>
      <c r="AV806" s="104"/>
      <c r="AW806" s="102"/>
    </row>
    <row r="807" spans="14:49">
      <c r="N807" s="101"/>
      <c r="AN807" s="102"/>
      <c r="AO807" s="103"/>
      <c r="AP807" s="104"/>
      <c r="AR807" s="104"/>
      <c r="AS807" s="43"/>
      <c r="AT807" s="104"/>
      <c r="AV807" s="104"/>
      <c r="AW807" s="102"/>
    </row>
    <row r="808" spans="14:49">
      <c r="N808" s="101"/>
      <c r="AN808" s="102"/>
      <c r="AO808" s="103"/>
      <c r="AP808" s="104"/>
      <c r="AR808" s="104"/>
      <c r="AS808" s="43"/>
      <c r="AT808" s="104"/>
      <c r="AV808" s="104"/>
      <c r="AW808" s="102"/>
    </row>
    <row r="809" spans="14:49">
      <c r="N809" s="101"/>
      <c r="AN809" s="102"/>
      <c r="AO809" s="103"/>
      <c r="AP809" s="104"/>
      <c r="AR809" s="104"/>
      <c r="AS809" s="43"/>
      <c r="AT809" s="104"/>
      <c r="AV809" s="104"/>
      <c r="AW809" s="102"/>
    </row>
    <row r="810" spans="14:49">
      <c r="N810" s="101"/>
      <c r="AN810" s="102"/>
      <c r="AO810" s="103"/>
      <c r="AP810" s="104"/>
      <c r="AR810" s="104"/>
      <c r="AS810" s="43"/>
      <c r="AT810" s="104"/>
      <c r="AV810" s="104"/>
      <c r="AW810" s="102"/>
    </row>
    <row r="811" spans="14:49">
      <c r="N811" s="101"/>
      <c r="AN811" s="102"/>
      <c r="AO811" s="103"/>
      <c r="AP811" s="104"/>
      <c r="AR811" s="104"/>
      <c r="AS811" s="43"/>
      <c r="AT811" s="104"/>
      <c r="AV811" s="104"/>
      <c r="AW811" s="102"/>
    </row>
    <row r="812" spans="14:49">
      <c r="N812" s="101"/>
      <c r="AN812" s="102"/>
      <c r="AO812" s="103"/>
      <c r="AP812" s="104"/>
      <c r="AR812" s="104"/>
      <c r="AS812" s="43"/>
      <c r="AT812" s="104"/>
      <c r="AV812" s="104"/>
      <c r="AW812" s="102"/>
    </row>
    <row r="813" spans="14:49">
      <c r="N813" s="101"/>
      <c r="AN813" s="102"/>
      <c r="AO813" s="103"/>
      <c r="AP813" s="104"/>
      <c r="AR813" s="104"/>
      <c r="AS813" s="43"/>
      <c r="AT813" s="104"/>
      <c r="AV813" s="104"/>
      <c r="AW813" s="102"/>
    </row>
    <row r="814" spans="14:49">
      <c r="N814" s="101"/>
      <c r="AN814" s="102"/>
      <c r="AO814" s="103"/>
      <c r="AP814" s="104"/>
      <c r="AR814" s="104"/>
      <c r="AS814" s="43"/>
      <c r="AT814" s="104"/>
      <c r="AV814" s="104"/>
      <c r="AW814" s="102"/>
    </row>
    <row r="815" spans="14:49">
      <c r="N815" s="101"/>
      <c r="AN815" s="102"/>
      <c r="AO815" s="103"/>
      <c r="AP815" s="104"/>
      <c r="AR815" s="104"/>
      <c r="AS815" s="43"/>
      <c r="AT815" s="104"/>
      <c r="AV815" s="104"/>
      <c r="AW815" s="102"/>
    </row>
    <row r="816" spans="14:49">
      <c r="N816" s="101"/>
      <c r="AN816" s="102"/>
      <c r="AO816" s="103"/>
      <c r="AP816" s="104"/>
      <c r="AR816" s="104"/>
      <c r="AS816" s="43"/>
      <c r="AT816" s="104"/>
      <c r="AV816" s="104"/>
      <c r="AW816" s="102"/>
    </row>
    <row r="817" spans="14:49">
      <c r="N817" s="101"/>
      <c r="AN817" s="102"/>
      <c r="AO817" s="103"/>
      <c r="AP817" s="104"/>
      <c r="AR817" s="104"/>
      <c r="AS817" s="43"/>
      <c r="AT817" s="104"/>
      <c r="AV817" s="104"/>
      <c r="AW817" s="102"/>
    </row>
    <row r="818" spans="14:49">
      <c r="N818" s="101"/>
      <c r="AN818" s="102"/>
      <c r="AO818" s="103"/>
      <c r="AP818" s="104"/>
      <c r="AR818" s="104"/>
      <c r="AS818" s="43"/>
      <c r="AT818" s="104"/>
      <c r="AV818" s="104"/>
      <c r="AW818" s="102"/>
    </row>
    <row r="819" spans="14:49">
      <c r="N819" s="101"/>
      <c r="AN819" s="102"/>
      <c r="AO819" s="103"/>
      <c r="AP819" s="104"/>
      <c r="AR819" s="104"/>
      <c r="AS819" s="43"/>
      <c r="AT819" s="104"/>
      <c r="AV819" s="104"/>
      <c r="AW819" s="102"/>
    </row>
    <row r="820" spans="14:49">
      <c r="N820" s="101"/>
      <c r="AN820" s="102"/>
      <c r="AO820" s="103"/>
      <c r="AP820" s="104"/>
      <c r="AR820" s="104"/>
      <c r="AS820" s="43"/>
      <c r="AT820" s="104"/>
      <c r="AV820" s="104"/>
      <c r="AW820" s="102"/>
    </row>
    <row r="821" spans="14:49">
      <c r="N821" s="101"/>
      <c r="AN821" s="102"/>
      <c r="AO821" s="103"/>
      <c r="AP821" s="104"/>
      <c r="AR821" s="104"/>
      <c r="AS821" s="43"/>
      <c r="AT821" s="104"/>
      <c r="AV821" s="104"/>
      <c r="AW821" s="102"/>
    </row>
    <row r="822" spans="14:49">
      <c r="N822" s="101"/>
      <c r="Y822" s="78"/>
      <c r="AN822" s="102"/>
      <c r="AO822" s="103"/>
      <c r="AP822" s="104"/>
      <c r="AR822" s="104"/>
      <c r="AS822" s="43"/>
      <c r="AT822" s="104"/>
      <c r="AV822" s="104"/>
      <c r="AW822" s="102"/>
    </row>
    <row r="823" spans="14:49">
      <c r="N823" s="101"/>
      <c r="AN823" s="102"/>
      <c r="AO823" s="103"/>
      <c r="AP823" s="104"/>
      <c r="AR823" s="104"/>
      <c r="AS823" s="43"/>
      <c r="AT823" s="104"/>
      <c r="AV823" s="104"/>
      <c r="AW823" s="102"/>
    </row>
    <row r="824" spans="14:49">
      <c r="N824" s="101"/>
      <c r="AN824" s="102"/>
      <c r="AO824" s="103"/>
      <c r="AP824" s="104"/>
      <c r="AR824" s="104"/>
      <c r="AS824" s="43"/>
      <c r="AT824" s="104"/>
      <c r="AV824" s="104"/>
      <c r="AW824" s="102"/>
    </row>
    <row r="825" spans="14:49">
      <c r="N825" s="101"/>
      <c r="AN825" s="102"/>
      <c r="AO825" s="103"/>
      <c r="AP825" s="104"/>
      <c r="AR825" s="104"/>
      <c r="AS825" s="43"/>
      <c r="AT825" s="104"/>
      <c r="AV825" s="104"/>
      <c r="AW825" s="102"/>
    </row>
    <row r="826" spans="14:49">
      <c r="N826" s="101"/>
      <c r="AN826" s="102"/>
      <c r="AO826" s="103"/>
      <c r="AP826" s="104"/>
      <c r="AR826" s="104"/>
      <c r="AS826" s="43"/>
      <c r="AT826" s="104"/>
      <c r="AV826" s="104"/>
      <c r="AW826" s="102"/>
    </row>
    <row r="827" spans="14:49">
      <c r="N827" s="101"/>
      <c r="AN827" s="102"/>
      <c r="AO827" s="103"/>
      <c r="AP827" s="104"/>
      <c r="AR827" s="104"/>
      <c r="AS827" s="43"/>
      <c r="AT827" s="104"/>
      <c r="AV827" s="104"/>
      <c r="AW827" s="102"/>
    </row>
    <row r="828" spans="14:49">
      <c r="N828" s="101"/>
      <c r="AN828" s="102"/>
      <c r="AO828" s="103"/>
      <c r="AP828" s="104"/>
      <c r="AR828" s="104"/>
      <c r="AS828" s="43"/>
      <c r="AT828" s="104"/>
      <c r="AV828" s="104"/>
      <c r="AW828" s="102"/>
    </row>
    <row r="829" spans="14:49">
      <c r="N829" s="101"/>
      <c r="AN829" s="102"/>
      <c r="AO829" s="103"/>
      <c r="AP829" s="104"/>
      <c r="AR829" s="104"/>
      <c r="AS829" s="43"/>
      <c r="AT829" s="104"/>
      <c r="AV829" s="104"/>
      <c r="AW829" s="102"/>
    </row>
    <row r="830" spans="14:49">
      <c r="N830" s="101"/>
      <c r="AN830" s="102"/>
      <c r="AO830" s="103"/>
      <c r="AP830" s="104"/>
      <c r="AR830" s="104"/>
      <c r="AS830" s="43"/>
      <c r="AT830" s="104"/>
      <c r="AV830" s="104"/>
      <c r="AW830" s="102"/>
    </row>
    <row r="831" spans="14:49">
      <c r="N831" s="101"/>
      <c r="AN831" s="102"/>
      <c r="AO831" s="103"/>
      <c r="AP831" s="104"/>
      <c r="AR831" s="104"/>
      <c r="AS831" s="43"/>
      <c r="AT831" s="104"/>
      <c r="AV831" s="104"/>
      <c r="AW831" s="102"/>
    </row>
    <row r="832" spans="14:49">
      <c r="N832" s="101"/>
      <c r="AN832" s="102"/>
      <c r="AO832" s="103"/>
      <c r="AP832" s="104"/>
      <c r="AR832" s="104"/>
      <c r="AS832" s="43"/>
      <c r="AT832" s="104"/>
      <c r="AV832" s="104"/>
      <c r="AW832" s="102"/>
    </row>
    <row r="833" spans="14:49">
      <c r="N833" s="101"/>
      <c r="AN833" s="102"/>
      <c r="AO833" s="103"/>
      <c r="AP833" s="104"/>
      <c r="AR833" s="104"/>
      <c r="AS833" s="43"/>
      <c r="AT833" s="104"/>
      <c r="AV833" s="104"/>
      <c r="AW833" s="102"/>
    </row>
    <row r="834" spans="14:49">
      <c r="N834" s="101"/>
      <c r="AN834" s="102"/>
      <c r="AO834" s="103"/>
      <c r="AP834" s="104"/>
      <c r="AR834" s="104"/>
      <c r="AS834" s="43"/>
      <c r="AT834" s="104"/>
      <c r="AV834" s="104"/>
      <c r="AW834" s="102"/>
    </row>
    <row r="835" spans="14:49">
      <c r="N835" s="101"/>
      <c r="AN835" s="102"/>
      <c r="AO835" s="103"/>
      <c r="AP835" s="104"/>
      <c r="AR835" s="104"/>
      <c r="AS835" s="43"/>
      <c r="AT835" s="104"/>
      <c r="AV835" s="104"/>
      <c r="AW835" s="102"/>
    </row>
    <row r="836" spans="14:49">
      <c r="N836" s="101"/>
      <c r="AN836" s="102"/>
      <c r="AO836" s="103"/>
      <c r="AP836" s="104"/>
      <c r="AR836" s="104"/>
      <c r="AS836" s="43"/>
      <c r="AT836" s="104"/>
      <c r="AV836" s="104"/>
      <c r="AW836" s="102"/>
    </row>
    <row r="837" spans="14:49">
      <c r="N837" s="101"/>
      <c r="AN837" s="102"/>
      <c r="AO837" s="103"/>
      <c r="AP837" s="104"/>
      <c r="AR837" s="104"/>
      <c r="AS837" s="43"/>
      <c r="AT837" s="104"/>
      <c r="AV837" s="104"/>
      <c r="AW837" s="102"/>
    </row>
    <row r="838" spans="14:49">
      <c r="N838" s="101"/>
      <c r="AN838" s="102"/>
      <c r="AO838" s="103"/>
      <c r="AP838" s="104"/>
      <c r="AR838" s="104"/>
      <c r="AS838" s="43"/>
      <c r="AT838" s="104"/>
      <c r="AV838" s="104"/>
      <c r="AW838" s="102"/>
    </row>
    <row r="839" spans="14:49">
      <c r="N839" s="101"/>
      <c r="AN839" s="102"/>
      <c r="AO839" s="103"/>
      <c r="AP839" s="104"/>
      <c r="AR839" s="104"/>
      <c r="AS839" s="43"/>
      <c r="AT839" s="104"/>
      <c r="AV839" s="104"/>
      <c r="AW839" s="102"/>
    </row>
    <row r="840" spans="14:49">
      <c r="N840" s="101"/>
      <c r="AN840" s="102"/>
      <c r="AO840" s="103"/>
      <c r="AP840" s="104"/>
      <c r="AR840" s="104"/>
      <c r="AS840" s="43"/>
      <c r="AT840" s="104"/>
      <c r="AV840" s="104"/>
      <c r="AW840" s="102"/>
    </row>
    <row r="841" spans="14:49">
      <c r="N841" s="101"/>
      <c r="AN841" s="102"/>
      <c r="AO841" s="103"/>
      <c r="AP841" s="104"/>
      <c r="AR841" s="104"/>
      <c r="AS841" s="43"/>
      <c r="AT841" s="104"/>
      <c r="AV841" s="104"/>
      <c r="AW841" s="102"/>
    </row>
    <row r="842" spans="14:49">
      <c r="N842" s="101"/>
      <c r="AN842" s="102"/>
      <c r="AO842" s="103"/>
      <c r="AP842" s="104"/>
      <c r="AR842" s="104"/>
      <c r="AS842" s="43"/>
      <c r="AT842" s="104"/>
      <c r="AV842" s="104"/>
      <c r="AW842" s="102"/>
    </row>
    <row r="843" spans="14:49">
      <c r="N843" s="101"/>
      <c r="AN843" s="102"/>
      <c r="AO843" s="103"/>
      <c r="AP843" s="104"/>
      <c r="AR843" s="104"/>
      <c r="AS843" s="43"/>
      <c r="AT843" s="104"/>
      <c r="AV843" s="104"/>
      <c r="AW843" s="102"/>
    </row>
    <row r="844" spans="14:49">
      <c r="N844" s="101"/>
      <c r="AN844" s="102"/>
      <c r="AO844" s="103"/>
      <c r="AP844" s="104"/>
      <c r="AR844" s="104"/>
      <c r="AS844" s="43"/>
      <c r="AT844" s="104"/>
      <c r="AV844" s="104"/>
      <c r="AW844" s="102"/>
    </row>
    <row r="845" spans="14:49">
      <c r="N845" s="101"/>
      <c r="AN845" s="102"/>
      <c r="AO845" s="103"/>
      <c r="AP845" s="104"/>
      <c r="AR845" s="104"/>
      <c r="AS845" s="43"/>
      <c r="AT845" s="104"/>
      <c r="AV845" s="104"/>
      <c r="AW845" s="102"/>
    </row>
    <row r="846" spans="14:49">
      <c r="N846" s="101"/>
      <c r="AN846" s="102"/>
      <c r="AO846" s="103"/>
      <c r="AP846" s="104"/>
      <c r="AR846" s="104"/>
      <c r="AS846" s="43"/>
      <c r="AT846" s="104"/>
      <c r="AV846" s="104"/>
      <c r="AW846" s="102"/>
    </row>
    <row r="847" spans="14:49">
      <c r="N847" s="101"/>
      <c r="AN847" s="102"/>
      <c r="AO847" s="103"/>
      <c r="AP847" s="104"/>
      <c r="AR847" s="104"/>
      <c r="AS847" s="43"/>
      <c r="AT847" s="104"/>
      <c r="AV847" s="104"/>
      <c r="AW847" s="102"/>
    </row>
    <row r="848" spans="14:49">
      <c r="N848" s="101"/>
      <c r="AN848" s="102"/>
      <c r="AO848" s="103"/>
      <c r="AP848" s="104"/>
      <c r="AR848" s="104"/>
      <c r="AS848" s="43"/>
      <c r="AT848" s="104"/>
      <c r="AV848" s="104"/>
      <c r="AW848" s="102"/>
    </row>
    <row r="849" spans="14:49">
      <c r="N849" s="101"/>
      <c r="AN849" s="102"/>
      <c r="AO849" s="103"/>
      <c r="AP849" s="104"/>
      <c r="AR849" s="104"/>
      <c r="AS849" s="43"/>
      <c r="AT849" s="104"/>
      <c r="AV849" s="104"/>
      <c r="AW849" s="102"/>
    </row>
    <row r="850" spans="14:49">
      <c r="N850" s="101"/>
      <c r="AN850" s="102"/>
      <c r="AO850" s="103"/>
      <c r="AP850" s="104"/>
      <c r="AR850" s="104"/>
      <c r="AS850" s="43"/>
      <c r="AT850" s="104"/>
      <c r="AV850" s="104"/>
      <c r="AW850" s="102"/>
    </row>
    <row r="851" spans="14:49">
      <c r="N851" s="101"/>
      <c r="AN851" s="102"/>
      <c r="AO851" s="103"/>
      <c r="AP851" s="104"/>
      <c r="AR851" s="104"/>
      <c r="AS851" s="43"/>
      <c r="AT851" s="104"/>
      <c r="AV851" s="104"/>
      <c r="AW851" s="102"/>
    </row>
    <row r="852" spans="14:49">
      <c r="N852" s="101"/>
      <c r="AN852" s="102"/>
      <c r="AO852" s="103"/>
      <c r="AP852" s="104"/>
      <c r="AR852" s="104"/>
      <c r="AS852" s="43"/>
      <c r="AT852" s="104"/>
      <c r="AV852" s="104"/>
      <c r="AW852" s="102"/>
    </row>
    <row r="853" spans="14:49">
      <c r="N853" s="101"/>
      <c r="AN853" s="102"/>
      <c r="AO853" s="103"/>
      <c r="AP853" s="104"/>
      <c r="AR853" s="104"/>
      <c r="AS853" s="43"/>
      <c r="AT853" s="104"/>
      <c r="AV853" s="104"/>
      <c r="AW853" s="102"/>
    </row>
    <row r="854" spans="14:49">
      <c r="N854" s="101"/>
      <c r="AN854" s="102"/>
      <c r="AO854" s="103"/>
      <c r="AP854" s="104"/>
      <c r="AR854" s="104"/>
      <c r="AS854" s="43"/>
      <c r="AT854" s="104"/>
      <c r="AV854" s="104"/>
      <c r="AW854" s="102"/>
    </row>
    <row r="855" spans="14:49">
      <c r="N855" s="101"/>
      <c r="AN855" s="102"/>
      <c r="AO855" s="103"/>
      <c r="AP855" s="104"/>
      <c r="AR855" s="104"/>
      <c r="AS855" s="43"/>
      <c r="AT855" s="104"/>
      <c r="AV855" s="104"/>
      <c r="AW855" s="102"/>
    </row>
    <row r="856" spans="14:49">
      <c r="N856" s="101"/>
      <c r="AN856" s="102"/>
      <c r="AO856" s="103"/>
      <c r="AP856" s="104"/>
      <c r="AR856" s="104"/>
      <c r="AS856" s="43"/>
      <c r="AT856" s="104"/>
      <c r="AV856" s="104"/>
      <c r="AW856" s="102"/>
    </row>
    <row r="857" spans="14:49">
      <c r="N857" s="101"/>
      <c r="AN857" s="102"/>
      <c r="AO857" s="103"/>
      <c r="AP857" s="104"/>
      <c r="AR857" s="104"/>
      <c r="AS857" s="43"/>
      <c r="AT857" s="104"/>
      <c r="AV857" s="104"/>
      <c r="AW857" s="102"/>
    </row>
    <row r="858" spans="14:49">
      <c r="N858" s="101"/>
      <c r="AN858" s="102"/>
      <c r="AO858" s="103"/>
      <c r="AP858" s="104"/>
      <c r="AR858" s="104"/>
      <c r="AS858" s="43"/>
      <c r="AT858" s="104"/>
      <c r="AV858" s="104"/>
      <c r="AW858" s="102"/>
    </row>
    <row r="859" spans="14:49">
      <c r="N859" s="101"/>
      <c r="AN859" s="102"/>
      <c r="AO859" s="103"/>
      <c r="AP859" s="104"/>
      <c r="AR859" s="104"/>
      <c r="AS859" s="43"/>
      <c r="AT859" s="104"/>
      <c r="AV859" s="104"/>
      <c r="AW859" s="102"/>
    </row>
    <row r="860" spans="14:49">
      <c r="N860" s="101"/>
      <c r="AN860" s="102"/>
      <c r="AO860" s="103"/>
      <c r="AP860" s="104"/>
      <c r="AR860" s="104"/>
      <c r="AS860" s="43"/>
      <c r="AT860" s="104"/>
      <c r="AV860" s="104"/>
      <c r="AW860" s="102"/>
    </row>
    <row r="861" spans="14:49">
      <c r="N861" s="101"/>
      <c r="AN861" s="102"/>
      <c r="AO861" s="103"/>
      <c r="AP861" s="104"/>
      <c r="AR861" s="104"/>
      <c r="AS861" s="43"/>
      <c r="AT861" s="104"/>
      <c r="AV861" s="104"/>
      <c r="AW861" s="102"/>
    </row>
    <row r="862" spans="14:49">
      <c r="N862" s="101"/>
      <c r="AN862" s="102"/>
      <c r="AO862" s="103"/>
      <c r="AP862" s="104"/>
      <c r="AR862" s="104"/>
      <c r="AS862" s="43"/>
      <c r="AT862" s="104"/>
      <c r="AV862" s="104"/>
      <c r="AW862" s="102"/>
    </row>
    <row r="863" spans="14:49">
      <c r="N863" s="101"/>
      <c r="Y863" s="78"/>
      <c r="AN863" s="102"/>
      <c r="AO863" s="103"/>
      <c r="AP863" s="104"/>
      <c r="AR863" s="104"/>
      <c r="AS863" s="43"/>
      <c r="AT863" s="104"/>
      <c r="AV863" s="104"/>
      <c r="AW863" s="102"/>
    </row>
    <row r="864" spans="14:49">
      <c r="N864" s="101"/>
      <c r="AN864" s="102"/>
      <c r="AO864" s="103"/>
      <c r="AP864" s="104"/>
      <c r="AR864" s="104"/>
      <c r="AS864" s="43"/>
      <c r="AT864" s="104"/>
      <c r="AV864" s="104"/>
      <c r="AW864" s="102"/>
    </row>
    <row r="865" spans="14:49">
      <c r="N865" s="101"/>
      <c r="AN865" s="102"/>
      <c r="AO865" s="103"/>
      <c r="AP865" s="104"/>
      <c r="AR865" s="104"/>
      <c r="AS865" s="43"/>
      <c r="AT865" s="104"/>
      <c r="AV865" s="104"/>
      <c r="AW865" s="102"/>
    </row>
    <row r="866" spans="14:49">
      <c r="N866" s="101"/>
      <c r="AN866" s="102"/>
      <c r="AO866" s="103"/>
      <c r="AP866" s="104"/>
      <c r="AR866" s="104"/>
      <c r="AS866" s="43"/>
      <c r="AT866" s="104"/>
      <c r="AV866" s="104"/>
      <c r="AW866" s="102"/>
    </row>
    <row r="867" spans="14:49">
      <c r="N867" s="101"/>
      <c r="AN867" s="102"/>
      <c r="AO867" s="103"/>
      <c r="AP867" s="104"/>
      <c r="AR867" s="104"/>
      <c r="AS867" s="43"/>
      <c r="AT867" s="104"/>
      <c r="AV867" s="104"/>
      <c r="AW867" s="102"/>
    </row>
    <row r="868" spans="14:49">
      <c r="N868" s="101"/>
      <c r="AN868" s="102"/>
      <c r="AO868" s="103"/>
      <c r="AP868" s="104"/>
      <c r="AR868" s="104"/>
      <c r="AS868" s="43"/>
      <c r="AT868" s="104"/>
      <c r="AV868" s="104"/>
      <c r="AW868" s="102"/>
    </row>
    <row r="869" spans="14:49">
      <c r="N869" s="101"/>
      <c r="AN869" s="102"/>
      <c r="AO869" s="103"/>
      <c r="AP869" s="104"/>
      <c r="AR869" s="104"/>
      <c r="AS869" s="43"/>
      <c r="AT869" s="104"/>
      <c r="AV869" s="104"/>
      <c r="AW869" s="102"/>
    </row>
    <row r="870" spans="14:49">
      <c r="N870" s="101"/>
      <c r="AN870" s="102"/>
      <c r="AO870" s="103"/>
      <c r="AP870" s="104"/>
      <c r="AR870" s="104"/>
      <c r="AS870" s="43"/>
      <c r="AT870" s="104"/>
      <c r="AV870" s="104"/>
      <c r="AW870" s="102"/>
    </row>
    <row r="871" spans="14:49">
      <c r="N871" s="101"/>
      <c r="AN871" s="102"/>
      <c r="AO871" s="103"/>
      <c r="AP871" s="104"/>
      <c r="AR871" s="104"/>
      <c r="AS871" s="43"/>
      <c r="AT871" s="104"/>
      <c r="AV871" s="104"/>
      <c r="AW871" s="102"/>
    </row>
    <row r="872" spans="14:49">
      <c r="N872" s="101"/>
      <c r="AN872" s="102"/>
      <c r="AO872" s="103"/>
      <c r="AP872" s="104"/>
      <c r="AR872" s="104"/>
      <c r="AS872" s="43"/>
      <c r="AT872" s="104"/>
      <c r="AV872" s="104"/>
      <c r="AW872" s="102"/>
    </row>
    <row r="873" spans="14:49">
      <c r="N873" s="101"/>
      <c r="AN873" s="102"/>
      <c r="AO873" s="103"/>
      <c r="AP873" s="104"/>
      <c r="AR873" s="104"/>
      <c r="AS873" s="43"/>
      <c r="AT873" s="104"/>
      <c r="AV873" s="104"/>
      <c r="AW873" s="102"/>
    </row>
    <row r="874" spans="14:49">
      <c r="N874" s="101"/>
      <c r="AN874" s="102"/>
      <c r="AO874" s="103"/>
      <c r="AP874" s="104"/>
      <c r="AR874" s="104"/>
      <c r="AS874" s="43"/>
      <c r="AT874" s="104"/>
      <c r="AV874" s="104"/>
      <c r="AW874" s="102"/>
    </row>
    <row r="875" spans="14:49">
      <c r="N875" s="101"/>
      <c r="AN875" s="102"/>
      <c r="AO875" s="103"/>
      <c r="AP875" s="104"/>
      <c r="AR875" s="104"/>
      <c r="AS875" s="43"/>
      <c r="AT875" s="104"/>
      <c r="AV875" s="104"/>
      <c r="AW875" s="102"/>
    </row>
    <row r="876" spans="14:49">
      <c r="N876" s="101"/>
      <c r="AN876" s="102"/>
      <c r="AO876" s="103"/>
      <c r="AP876" s="104"/>
      <c r="AR876" s="104"/>
      <c r="AS876" s="43"/>
      <c r="AT876" s="104"/>
      <c r="AV876" s="104"/>
      <c r="AW876" s="102"/>
    </row>
    <row r="877" spans="14:49">
      <c r="N877" s="101"/>
      <c r="AN877" s="102"/>
      <c r="AO877" s="103"/>
      <c r="AP877" s="104"/>
      <c r="AR877" s="104"/>
      <c r="AS877" s="43"/>
      <c r="AT877" s="104"/>
      <c r="AV877" s="104"/>
      <c r="AW877" s="102"/>
    </row>
    <row r="878" spans="14:49">
      <c r="N878" s="101"/>
      <c r="AN878" s="102"/>
      <c r="AO878" s="103"/>
      <c r="AP878" s="104"/>
      <c r="AR878" s="104"/>
      <c r="AS878" s="43"/>
      <c r="AT878" s="104"/>
      <c r="AV878" s="104"/>
      <c r="AW878" s="102"/>
    </row>
    <row r="879" spans="14:49">
      <c r="N879" s="101"/>
      <c r="AN879" s="102"/>
      <c r="AO879" s="103"/>
      <c r="AP879" s="104"/>
      <c r="AR879" s="104"/>
      <c r="AS879" s="43"/>
      <c r="AT879" s="104"/>
      <c r="AV879" s="104"/>
      <c r="AW879" s="102"/>
    </row>
    <row r="880" spans="14:49">
      <c r="N880" s="101"/>
      <c r="AN880" s="102"/>
      <c r="AO880" s="103"/>
      <c r="AP880" s="104"/>
      <c r="AR880" s="104"/>
      <c r="AS880" s="43"/>
      <c r="AT880" s="104"/>
      <c r="AV880" s="104"/>
      <c r="AW880" s="102"/>
    </row>
    <row r="881" spans="14:49">
      <c r="N881" s="101"/>
      <c r="AN881" s="102"/>
      <c r="AO881" s="103"/>
      <c r="AP881" s="104"/>
      <c r="AR881" s="104"/>
      <c r="AS881" s="43"/>
      <c r="AT881" s="104"/>
      <c r="AV881" s="104"/>
      <c r="AW881" s="102"/>
    </row>
    <row r="882" spans="14:49">
      <c r="N882" s="101"/>
      <c r="AN882" s="102"/>
      <c r="AO882" s="103"/>
      <c r="AP882" s="104"/>
      <c r="AR882" s="104"/>
      <c r="AS882" s="43"/>
      <c r="AT882" s="104"/>
      <c r="AV882" s="104"/>
      <c r="AW882" s="102"/>
    </row>
    <row r="883" spans="14:49">
      <c r="N883" s="101"/>
      <c r="AN883" s="102"/>
      <c r="AO883" s="103"/>
      <c r="AP883" s="104"/>
      <c r="AR883" s="104"/>
      <c r="AS883" s="43"/>
      <c r="AT883" s="104"/>
      <c r="AV883" s="104"/>
      <c r="AW883" s="102"/>
    </row>
    <row r="884" spans="14:49">
      <c r="N884" s="101"/>
      <c r="AN884" s="102"/>
      <c r="AO884" s="103"/>
      <c r="AP884" s="104"/>
      <c r="AR884" s="104"/>
      <c r="AS884" s="43"/>
      <c r="AT884" s="104"/>
      <c r="AV884" s="104"/>
      <c r="AW884" s="102"/>
    </row>
    <row r="885" spans="14:49">
      <c r="N885" s="101"/>
      <c r="AN885" s="102"/>
      <c r="AO885" s="103"/>
      <c r="AP885" s="104"/>
      <c r="AR885" s="104"/>
      <c r="AS885" s="43"/>
      <c r="AT885" s="104"/>
      <c r="AV885" s="104"/>
      <c r="AW885" s="102"/>
    </row>
    <row r="886" spans="14:49">
      <c r="N886" s="101"/>
      <c r="AN886" s="102"/>
      <c r="AO886" s="103"/>
      <c r="AP886" s="104"/>
      <c r="AR886" s="104"/>
      <c r="AS886" s="43"/>
      <c r="AT886" s="104"/>
      <c r="AV886" s="104"/>
      <c r="AW886" s="102"/>
    </row>
    <row r="887" spans="14:49">
      <c r="N887" s="101"/>
      <c r="AN887" s="102"/>
      <c r="AO887" s="103"/>
      <c r="AP887" s="104"/>
      <c r="AR887" s="104"/>
      <c r="AS887" s="43"/>
      <c r="AT887" s="104"/>
      <c r="AV887" s="104"/>
      <c r="AW887" s="102"/>
    </row>
    <row r="888" spans="14:49">
      <c r="N888" s="101"/>
      <c r="AN888" s="102"/>
      <c r="AO888" s="103"/>
      <c r="AP888" s="104"/>
      <c r="AR888" s="104"/>
      <c r="AS888" s="43"/>
      <c r="AT888" s="104"/>
      <c r="AV888" s="104"/>
      <c r="AW888" s="102"/>
    </row>
    <row r="889" spans="14:49">
      <c r="N889" s="101"/>
      <c r="AN889" s="102"/>
      <c r="AO889" s="103"/>
      <c r="AP889" s="104"/>
      <c r="AR889" s="104"/>
      <c r="AS889" s="43"/>
      <c r="AT889" s="104"/>
      <c r="AV889" s="104"/>
      <c r="AW889" s="102"/>
    </row>
    <row r="890" spans="14:49">
      <c r="N890" s="101"/>
      <c r="AN890" s="102"/>
      <c r="AO890" s="103"/>
      <c r="AP890" s="104"/>
      <c r="AR890" s="104"/>
      <c r="AS890" s="43"/>
      <c r="AT890" s="104"/>
      <c r="AV890" s="104"/>
      <c r="AW890" s="102"/>
    </row>
    <row r="891" spans="14:49">
      <c r="N891" s="101"/>
      <c r="AN891" s="102"/>
      <c r="AO891" s="103"/>
      <c r="AP891" s="104"/>
      <c r="AR891" s="104"/>
      <c r="AS891" s="43"/>
      <c r="AT891" s="104"/>
      <c r="AV891" s="104"/>
      <c r="AW891" s="102"/>
    </row>
    <row r="892" spans="14:49">
      <c r="N892" s="101"/>
      <c r="AN892" s="102"/>
      <c r="AO892" s="103"/>
      <c r="AP892" s="104"/>
      <c r="AR892" s="104"/>
      <c r="AS892" s="43"/>
      <c r="AT892" s="104"/>
      <c r="AV892" s="104"/>
      <c r="AW892" s="102"/>
    </row>
    <row r="893" spans="14:49">
      <c r="N893" s="101"/>
      <c r="AN893" s="102"/>
      <c r="AO893" s="103"/>
      <c r="AP893" s="104"/>
      <c r="AR893" s="104"/>
      <c r="AS893" s="43"/>
      <c r="AT893" s="104"/>
      <c r="AV893" s="104"/>
      <c r="AW893" s="102"/>
    </row>
    <row r="894" spans="14:49">
      <c r="N894" s="101"/>
      <c r="AN894" s="102"/>
      <c r="AO894" s="103"/>
      <c r="AP894" s="104"/>
      <c r="AR894" s="104"/>
      <c r="AS894" s="43"/>
      <c r="AT894" s="104"/>
      <c r="AV894" s="104"/>
      <c r="AW894" s="102"/>
    </row>
    <row r="895" spans="14:49">
      <c r="N895" s="101"/>
      <c r="AN895" s="102"/>
      <c r="AO895" s="103"/>
      <c r="AP895" s="104"/>
      <c r="AR895" s="104"/>
      <c r="AS895" s="43"/>
      <c r="AT895" s="104"/>
      <c r="AV895" s="104"/>
      <c r="AW895" s="102"/>
    </row>
    <row r="896" spans="14:49">
      <c r="N896" s="101"/>
      <c r="AN896" s="102"/>
      <c r="AO896" s="103"/>
      <c r="AP896" s="104"/>
      <c r="AR896" s="104"/>
      <c r="AS896" s="43"/>
      <c r="AT896" s="104"/>
      <c r="AV896" s="104"/>
      <c r="AW896" s="102"/>
    </row>
    <row r="897" spans="14:49">
      <c r="N897" s="101"/>
      <c r="AN897" s="102"/>
      <c r="AO897" s="103"/>
      <c r="AP897" s="104"/>
      <c r="AR897" s="104"/>
      <c r="AS897" s="43"/>
      <c r="AT897" s="104"/>
      <c r="AV897" s="104"/>
      <c r="AW897" s="102"/>
    </row>
    <row r="898" spans="14:49">
      <c r="N898" s="101"/>
      <c r="AN898" s="102"/>
      <c r="AO898" s="103"/>
      <c r="AP898" s="104"/>
      <c r="AR898" s="104"/>
      <c r="AS898" s="43"/>
      <c r="AT898" s="104"/>
      <c r="AV898" s="104"/>
      <c r="AW898" s="102"/>
    </row>
    <row r="899" spans="14:49">
      <c r="N899" s="101"/>
      <c r="AN899" s="102"/>
      <c r="AO899" s="103"/>
      <c r="AP899" s="104"/>
      <c r="AR899" s="104"/>
      <c r="AS899" s="43"/>
      <c r="AT899" s="104"/>
      <c r="AV899" s="104"/>
      <c r="AW899" s="102"/>
    </row>
    <row r="900" spans="14:49">
      <c r="N900" s="101"/>
      <c r="AN900" s="102"/>
      <c r="AO900" s="103"/>
      <c r="AP900" s="104"/>
      <c r="AR900" s="104"/>
      <c r="AS900" s="43"/>
      <c r="AT900" s="104"/>
      <c r="AV900" s="104"/>
      <c r="AW900" s="102"/>
    </row>
    <row r="901" spans="14:49">
      <c r="N901" s="101"/>
      <c r="AN901" s="102"/>
      <c r="AO901" s="103"/>
      <c r="AP901" s="104"/>
      <c r="AR901" s="104"/>
      <c r="AS901" s="43"/>
      <c r="AT901" s="104"/>
      <c r="AV901" s="104"/>
      <c r="AW901" s="102"/>
    </row>
    <row r="902" spans="14:49">
      <c r="N902" s="101"/>
      <c r="AN902" s="102"/>
      <c r="AO902" s="103"/>
      <c r="AP902" s="104"/>
      <c r="AR902" s="104"/>
      <c r="AS902" s="43"/>
      <c r="AT902" s="104"/>
      <c r="AV902" s="104"/>
      <c r="AW902" s="102"/>
    </row>
    <row r="903" spans="14:49">
      <c r="N903" s="101"/>
      <c r="AN903" s="102"/>
      <c r="AO903" s="103"/>
      <c r="AP903" s="104"/>
      <c r="AR903" s="104"/>
      <c r="AS903" s="43"/>
      <c r="AT903" s="104"/>
      <c r="AV903" s="104"/>
      <c r="AW903" s="102"/>
    </row>
    <row r="904" spans="14:49">
      <c r="N904" s="101"/>
      <c r="Y904" s="78"/>
      <c r="AN904" s="102"/>
      <c r="AO904" s="103"/>
      <c r="AP904" s="104"/>
      <c r="AR904" s="104"/>
      <c r="AS904" s="43"/>
      <c r="AT904" s="104"/>
      <c r="AV904" s="104"/>
      <c r="AW904" s="102"/>
    </row>
    <row r="905" spans="14:49">
      <c r="N905" s="101"/>
      <c r="AN905" s="102"/>
      <c r="AO905" s="103"/>
      <c r="AP905" s="104"/>
      <c r="AR905" s="104"/>
      <c r="AS905" s="43"/>
      <c r="AT905" s="104"/>
      <c r="AV905" s="104"/>
      <c r="AW905" s="102"/>
    </row>
    <row r="906" spans="14:49">
      <c r="N906" s="101"/>
      <c r="AN906" s="102"/>
      <c r="AO906" s="103"/>
      <c r="AP906" s="104"/>
      <c r="AR906" s="104"/>
      <c r="AS906" s="43"/>
      <c r="AT906" s="104"/>
      <c r="AV906" s="104"/>
      <c r="AW906" s="102"/>
    </row>
    <row r="907" spans="14:49">
      <c r="N907" s="101"/>
      <c r="AN907" s="102"/>
      <c r="AO907" s="103"/>
      <c r="AP907" s="104"/>
      <c r="AR907" s="104"/>
      <c r="AS907" s="43"/>
      <c r="AT907" s="104"/>
      <c r="AV907" s="104"/>
      <c r="AW907" s="102"/>
    </row>
    <row r="908" spans="14:49">
      <c r="N908" s="101"/>
      <c r="AN908" s="102"/>
      <c r="AO908" s="103"/>
      <c r="AP908" s="104"/>
      <c r="AR908" s="104"/>
      <c r="AS908" s="43"/>
      <c r="AT908" s="104"/>
      <c r="AV908" s="104"/>
      <c r="AW908" s="102"/>
    </row>
    <row r="909" spans="14:49">
      <c r="N909" s="101"/>
      <c r="AN909" s="102"/>
      <c r="AO909" s="103"/>
      <c r="AP909" s="104"/>
      <c r="AR909" s="104"/>
      <c r="AS909" s="43"/>
      <c r="AT909" s="104"/>
      <c r="AV909" s="104"/>
      <c r="AW909" s="102"/>
    </row>
    <row r="910" spans="14:49">
      <c r="N910" s="101"/>
      <c r="AN910" s="102"/>
      <c r="AO910" s="103"/>
      <c r="AP910" s="104"/>
      <c r="AR910" s="104"/>
      <c r="AS910" s="43"/>
      <c r="AT910" s="104"/>
      <c r="AV910" s="104"/>
      <c r="AW910" s="102"/>
    </row>
    <row r="911" spans="14:49">
      <c r="N911" s="101"/>
      <c r="AN911" s="102"/>
      <c r="AO911" s="103"/>
      <c r="AP911" s="104"/>
      <c r="AR911" s="104"/>
      <c r="AS911" s="43"/>
      <c r="AT911" s="104"/>
      <c r="AV911" s="104"/>
      <c r="AW911" s="102"/>
    </row>
    <row r="912" spans="14:49">
      <c r="N912" s="101"/>
      <c r="AN912" s="102"/>
      <c r="AO912" s="103"/>
      <c r="AP912" s="104"/>
      <c r="AR912" s="104"/>
      <c r="AS912" s="43"/>
      <c r="AT912" s="104"/>
      <c r="AV912" s="104"/>
      <c r="AW912" s="102"/>
    </row>
    <row r="913" spans="14:49">
      <c r="N913" s="101"/>
      <c r="AN913" s="102"/>
      <c r="AO913" s="103"/>
      <c r="AP913" s="104"/>
      <c r="AR913" s="104"/>
      <c r="AS913" s="43"/>
      <c r="AT913" s="104"/>
      <c r="AV913" s="104"/>
      <c r="AW913" s="102"/>
    </row>
    <row r="914" spans="14:49">
      <c r="N914" s="101"/>
      <c r="AN914" s="102"/>
      <c r="AO914" s="103"/>
      <c r="AP914" s="104"/>
      <c r="AR914" s="104"/>
      <c r="AS914" s="43"/>
      <c r="AT914" s="104"/>
      <c r="AV914" s="104"/>
      <c r="AW914" s="102"/>
    </row>
    <row r="915" spans="14:49">
      <c r="N915" s="101"/>
      <c r="AN915" s="102"/>
      <c r="AO915" s="103"/>
      <c r="AP915" s="104"/>
      <c r="AR915" s="104"/>
      <c r="AS915" s="43"/>
      <c r="AT915" s="104"/>
      <c r="AV915" s="104"/>
      <c r="AW915" s="102"/>
    </row>
    <row r="916" spans="14:49">
      <c r="N916" s="101"/>
      <c r="AN916" s="102"/>
      <c r="AO916" s="103"/>
      <c r="AP916" s="104"/>
      <c r="AR916" s="104"/>
      <c r="AS916" s="43"/>
      <c r="AT916" s="104"/>
      <c r="AV916" s="104"/>
      <c r="AW916" s="102"/>
    </row>
    <row r="917" spans="14:49">
      <c r="N917" s="101"/>
      <c r="AN917" s="102"/>
      <c r="AO917" s="103"/>
      <c r="AP917" s="104"/>
      <c r="AR917" s="104"/>
      <c r="AS917" s="43"/>
      <c r="AT917" s="104"/>
      <c r="AV917" s="104"/>
      <c r="AW917" s="102"/>
    </row>
    <row r="918" spans="14:49">
      <c r="N918" s="101"/>
      <c r="AN918" s="102"/>
      <c r="AO918" s="103"/>
      <c r="AP918" s="104"/>
      <c r="AR918" s="104"/>
      <c r="AS918" s="43"/>
      <c r="AT918" s="104"/>
      <c r="AV918" s="104"/>
      <c r="AW918" s="102"/>
    </row>
    <row r="919" spans="14:49">
      <c r="N919" s="101"/>
      <c r="AN919" s="102"/>
      <c r="AO919" s="103"/>
      <c r="AP919" s="104"/>
      <c r="AR919" s="104"/>
      <c r="AS919" s="43"/>
      <c r="AT919" s="104"/>
      <c r="AV919" s="104"/>
      <c r="AW919" s="102"/>
    </row>
    <row r="920" spans="14:49">
      <c r="N920" s="101"/>
      <c r="AN920" s="102"/>
      <c r="AO920" s="103"/>
      <c r="AP920" s="104"/>
      <c r="AR920" s="104"/>
      <c r="AS920" s="43"/>
      <c r="AT920" s="104"/>
      <c r="AV920" s="104"/>
      <c r="AW920" s="102"/>
    </row>
    <row r="921" spans="14:49">
      <c r="N921" s="101"/>
      <c r="AN921" s="102"/>
      <c r="AO921" s="103"/>
      <c r="AP921" s="104"/>
      <c r="AR921" s="104"/>
      <c r="AS921" s="43"/>
      <c r="AT921" s="104"/>
      <c r="AV921" s="104"/>
      <c r="AW921" s="102"/>
    </row>
    <row r="922" spans="14:49">
      <c r="N922" s="101"/>
      <c r="AN922" s="102"/>
      <c r="AO922" s="103"/>
      <c r="AP922" s="104"/>
      <c r="AR922" s="104"/>
      <c r="AS922" s="43"/>
      <c r="AT922" s="104"/>
      <c r="AV922" s="104"/>
      <c r="AW922" s="102"/>
    </row>
    <row r="923" spans="14:49">
      <c r="N923" s="101"/>
      <c r="AN923" s="102"/>
      <c r="AO923" s="103"/>
      <c r="AP923" s="104"/>
      <c r="AR923" s="104"/>
      <c r="AS923" s="43"/>
      <c r="AT923" s="104"/>
      <c r="AV923" s="104"/>
      <c r="AW923" s="102"/>
    </row>
    <row r="924" spans="14:49">
      <c r="N924" s="101"/>
      <c r="AN924" s="102"/>
      <c r="AO924" s="103"/>
      <c r="AP924" s="104"/>
      <c r="AR924" s="104"/>
      <c r="AS924" s="43"/>
      <c r="AT924" s="104"/>
      <c r="AV924" s="104"/>
      <c r="AW924" s="102"/>
    </row>
    <row r="925" spans="14:49">
      <c r="N925" s="101"/>
      <c r="AN925" s="102"/>
      <c r="AO925" s="103"/>
      <c r="AP925" s="104"/>
      <c r="AR925" s="104"/>
      <c r="AS925" s="43"/>
      <c r="AT925" s="104"/>
      <c r="AV925" s="104"/>
      <c r="AW925" s="102"/>
    </row>
    <row r="926" spans="14:49">
      <c r="N926" s="101"/>
      <c r="AN926" s="102"/>
      <c r="AO926" s="103"/>
      <c r="AP926" s="104"/>
      <c r="AR926" s="104"/>
      <c r="AS926" s="43"/>
      <c r="AT926" s="104"/>
      <c r="AV926" s="104"/>
      <c r="AW926" s="102"/>
    </row>
    <row r="927" spans="14:49">
      <c r="N927" s="101"/>
      <c r="AN927" s="102"/>
      <c r="AO927" s="103"/>
      <c r="AP927" s="104"/>
      <c r="AR927" s="104"/>
      <c r="AS927" s="43"/>
      <c r="AT927" s="104"/>
      <c r="AV927" s="104"/>
      <c r="AW927" s="102"/>
    </row>
    <row r="928" spans="14:49">
      <c r="N928" s="101"/>
      <c r="AN928" s="102"/>
      <c r="AO928" s="103"/>
      <c r="AP928" s="104"/>
      <c r="AR928" s="104"/>
      <c r="AS928" s="43"/>
      <c r="AT928" s="104"/>
      <c r="AV928" s="104"/>
      <c r="AW928" s="102"/>
    </row>
    <row r="929" spans="14:49">
      <c r="N929" s="101"/>
      <c r="AN929" s="102"/>
      <c r="AO929" s="103"/>
      <c r="AP929" s="104"/>
      <c r="AR929" s="104"/>
      <c r="AS929" s="43"/>
      <c r="AT929" s="104"/>
      <c r="AV929" s="104"/>
      <c r="AW929" s="102"/>
    </row>
    <row r="930" spans="14:49">
      <c r="N930" s="101"/>
      <c r="AN930" s="102"/>
      <c r="AO930" s="103"/>
      <c r="AP930" s="104"/>
      <c r="AR930" s="104"/>
      <c r="AS930" s="43"/>
      <c r="AT930" s="104"/>
      <c r="AV930" s="104"/>
      <c r="AW930" s="102"/>
    </row>
    <row r="931" spans="14:49">
      <c r="N931" s="101"/>
      <c r="AN931" s="102"/>
      <c r="AO931" s="103"/>
      <c r="AP931" s="104"/>
      <c r="AR931" s="104"/>
      <c r="AS931" s="43"/>
      <c r="AT931" s="104"/>
      <c r="AV931" s="104"/>
      <c r="AW931" s="102"/>
    </row>
    <row r="932" spans="14:49">
      <c r="N932" s="101"/>
      <c r="AN932" s="102"/>
      <c r="AO932" s="103"/>
      <c r="AP932" s="104"/>
      <c r="AR932" s="104"/>
      <c r="AS932" s="43"/>
      <c r="AT932" s="104"/>
      <c r="AV932" s="104"/>
      <c r="AW932" s="102"/>
    </row>
    <row r="933" spans="14:49">
      <c r="N933" s="101"/>
      <c r="AN933" s="102"/>
      <c r="AO933" s="103"/>
      <c r="AP933" s="104"/>
      <c r="AR933" s="104"/>
      <c r="AS933" s="43"/>
      <c r="AT933" s="104"/>
      <c r="AV933" s="104"/>
      <c r="AW933" s="102"/>
    </row>
    <row r="934" spans="14:49">
      <c r="N934" s="101"/>
      <c r="AN934" s="102"/>
      <c r="AO934" s="103"/>
      <c r="AP934" s="104"/>
      <c r="AR934" s="104"/>
      <c r="AS934" s="43"/>
      <c r="AT934" s="104"/>
      <c r="AV934" s="104"/>
      <c r="AW934" s="102"/>
    </row>
    <row r="935" spans="14:49">
      <c r="N935" s="101"/>
      <c r="AN935" s="102"/>
      <c r="AO935" s="103"/>
      <c r="AP935" s="104"/>
      <c r="AR935" s="104"/>
      <c r="AS935" s="43"/>
      <c r="AT935" s="104"/>
      <c r="AV935" s="104"/>
      <c r="AW935" s="102"/>
    </row>
    <row r="936" spans="14:49">
      <c r="N936" s="101"/>
      <c r="AN936" s="102"/>
      <c r="AO936" s="103"/>
      <c r="AP936" s="104"/>
      <c r="AR936" s="104"/>
      <c r="AS936" s="43"/>
      <c r="AT936" s="104"/>
      <c r="AV936" s="104"/>
      <c r="AW936" s="102"/>
    </row>
    <row r="937" spans="14:49">
      <c r="N937" s="101"/>
      <c r="AN937" s="102"/>
      <c r="AO937" s="103"/>
      <c r="AP937" s="104"/>
      <c r="AR937" s="104"/>
      <c r="AS937" s="43"/>
      <c r="AT937" s="104"/>
      <c r="AV937" s="104"/>
      <c r="AW937" s="102"/>
    </row>
    <row r="938" spans="14:49">
      <c r="N938" s="101"/>
      <c r="AN938" s="102"/>
      <c r="AO938" s="103"/>
      <c r="AP938" s="104"/>
      <c r="AR938" s="104"/>
      <c r="AS938" s="43"/>
      <c r="AT938" s="104"/>
      <c r="AV938" s="104"/>
      <c r="AW938" s="102"/>
    </row>
    <row r="939" spans="14:49">
      <c r="N939" s="101"/>
      <c r="AN939" s="102"/>
      <c r="AO939" s="103"/>
      <c r="AP939" s="104"/>
      <c r="AR939" s="104"/>
      <c r="AS939" s="43"/>
      <c r="AT939" s="104"/>
      <c r="AV939" s="104"/>
      <c r="AW939" s="102"/>
    </row>
    <row r="940" spans="14:49">
      <c r="N940" s="101"/>
      <c r="AN940" s="102"/>
      <c r="AO940" s="103"/>
      <c r="AP940" s="104"/>
      <c r="AR940" s="104"/>
      <c r="AS940" s="43"/>
      <c r="AT940" s="104"/>
      <c r="AV940" s="104"/>
      <c r="AW940" s="102"/>
    </row>
    <row r="941" spans="14:49">
      <c r="N941" s="101"/>
      <c r="AN941" s="102"/>
      <c r="AO941" s="103"/>
      <c r="AP941" s="104"/>
      <c r="AR941" s="104"/>
      <c r="AS941" s="43"/>
      <c r="AT941" s="104"/>
      <c r="AV941" s="104"/>
      <c r="AW941" s="102"/>
    </row>
    <row r="942" spans="14:49">
      <c r="N942" s="101"/>
      <c r="AN942" s="102"/>
      <c r="AO942" s="103"/>
      <c r="AP942" s="104"/>
      <c r="AR942" s="104"/>
      <c r="AS942" s="43"/>
      <c r="AT942" s="104"/>
      <c r="AV942" s="104"/>
      <c r="AW942" s="102"/>
    </row>
    <row r="943" spans="14:49">
      <c r="N943" s="101"/>
      <c r="AN943" s="102"/>
      <c r="AO943" s="103"/>
      <c r="AP943" s="104"/>
      <c r="AR943" s="104"/>
      <c r="AS943" s="43"/>
      <c r="AT943" s="104"/>
      <c r="AV943" s="104"/>
      <c r="AW943" s="102"/>
    </row>
    <row r="944" spans="14:49">
      <c r="N944" s="101"/>
      <c r="AN944" s="102"/>
      <c r="AO944" s="103"/>
      <c r="AP944" s="104"/>
      <c r="AR944" s="104"/>
      <c r="AS944" s="43"/>
      <c r="AT944" s="104"/>
      <c r="AV944" s="104"/>
      <c r="AW944" s="102"/>
    </row>
    <row r="945" spans="14:49">
      <c r="N945" s="101"/>
      <c r="Y945" s="78"/>
      <c r="AN945" s="102"/>
      <c r="AO945" s="103"/>
      <c r="AP945" s="104"/>
      <c r="AR945" s="104"/>
      <c r="AS945" s="43"/>
      <c r="AT945" s="104"/>
      <c r="AV945" s="104"/>
      <c r="AW945" s="102"/>
    </row>
    <row r="946" spans="14:49">
      <c r="N946" s="101"/>
      <c r="AN946" s="102"/>
      <c r="AO946" s="103"/>
      <c r="AP946" s="104"/>
      <c r="AR946" s="104"/>
      <c r="AS946" s="43"/>
      <c r="AT946" s="104"/>
      <c r="AV946" s="104"/>
      <c r="AW946" s="102"/>
    </row>
    <row r="947" spans="14:49">
      <c r="N947" s="101"/>
      <c r="AN947" s="102"/>
      <c r="AO947" s="103"/>
      <c r="AP947" s="104"/>
      <c r="AR947" s="104"/>
      <c r="AS947" s="43"/>
      <c r="AT947" s="104"/>
      <c r="AV947" s="104"/>
      <c r="AW947" s="102"/>
    </row>
    <row r="948" spans="14:49">
      <c r="N948" s="101"/>
      <c r="AN948" s="102"/>
      <c r="AO948" s="103"/>
      <c r="AP948" s="104"/>
      <c r="AR948" s="104"/>
      <c r="AS948" s="43"/>
      <c r="AT948" s="104"/>
      <c r="AV948" s="104"/>
      <c r="AW948" s="102"/>
    </row>
    <row r="949" spans="14:49">
      <c r="N949" s="101"/>
      <c r="AN949" s="102"/>
      <c r="AO949" s="103"/>
      <c r="AP949" s="104"/>
      <c r="AR949" s="104"/>
      <c r="AS949" s="43"/>
      <c r="AT949" s="104"/>
      <c r="AV949" s="104"/>
      <c r="AW949" s="102"/>
    </row>
    <row r="950" spans="14:49">
      <c r="N950" s="101"/>
      <c r="AN950" s="102"/>
      <c r="AO950" s="103"/>
      <c r="AP950" s="104"/>
      <c r="AR950" s="104"/>
      <c r="AS950" s="43"/>
      <c r="AT950" s="104"/>
      <c r="AV950" s="104"/>
      <c r="AW950" s="102"/>
    </row>
    <row r="951" spans="14:49">
      <c r="N951" s="101"/>
      <c r="AN951" s="102"/>
      <c r="AO951" s="103"/>
      <c r="AP951" s="104"/>
      <c r="AR951" s="104"/>
      <c r="AS951" s="43"/>
      <c r="AT951" s="104"/>
      <c r="AV951" s="104"/>
      <c r="AW951" s="102"/>
    </row>
    <row r="952" spans="14:49">
      <c r="N952" s="101"/>
      <c r="AN952" s="102"/>
      <c r="AO952" s="103"/>
      <c r="AP952" s="104"/>
      <c r="AR952" s="104"/>
      <c r="AS952" s="43"/>
      <c r="AT952" s="104"/>
      <c r="AV952" s="104"/>
      <c r="AW952" s="102"/>
    </row>
    <row r="953" spans="14:49">
      <c r="N953" s="101"/>
      <c r="AN953" s="102"/>
      <c r="AO953" s="103"/>
      <c r="AP953" s="104"/>
      <c r="AR953" s="104"/>
      <c r="AS953" s="43"/>
      <c r="AT953" s="104"/>
      <c r="AV953" s="104"/>
      <c r="AW953" s="102"/>
    </row>
    <row r="954" spans="14:49">
      <c r="N954" s="101"/>
      <c r="AN954" s="102"/>
      <c r="AO954" s="103"/>
      <c r="AP954" s="104"/>
      <c r="AR954" s="104"/>
      <c r="AS954" s="43"/>
      <c r="AT954" s="104"/>
      <c r="AV954" s="104"/>
      <c r="AW954" s="102"/>
    </row>
    <row r="955" spans="14:49">
      <c r="N955" s="101"/>
      <c r="AN955" s="102"/>
      <c r="AO955" s="103"/>
      <c r="AP955" s="104"/>
      <c r="AR955" s="104"/>
      <c r="AS955" s="43"/>
      <c r="AT955" s="104"/>
      <c r="AV955" s="104"/>
      <c r="AW955" s="102"/>
    </row>
    <row r="956" spans="14:49">
      <c r="N956" s="101"/>
      <c r="AN956" s="102"/>
      <c r="AO956" s="103"/>
      <c r="AP956" s="104"/>
      <c r="AR956" s="104"/>
      <c r="AS956" s="43"/>
      <c r="AT956" s="104"/>
      <c r="AV956" s="104"/>
      <c r="AW956" s="102"/>
    </row>
    <row r="957" spans="14:49">
      <c r="N957" s="101"/>
      <c r="AN957" s="102"/>
      <c r="AO957" s="103"/>
      <c r="AP957" s="104"/>
      <c r="AR957" s="104"/>
      <c r="AS957" s="43"/>
      <c r="AT957" s="104"/>
      <c r="AV957" s="104"/>
      <c r="AW957" s="102"/>
    </row>
    <row r="958" spans="14:49">
      <c r="N958" s="101"/>
      <c r="AN958" s="102"/>
      <c r="AO958" s="103"/>
      <c r="AP958" s="104"/>
      <c r="AR958" s="104"/>
      <c r="AS958" s="43"/>
      <c r="AT958" s="104"/>
      <c r="AV958" s="104"/>
      <c r="AW958" s="102"/>
    </row>
    <row r="959" spans="14:49">
      <c r="N959" s="101"/>
      <c r="AN959" s="102"/>
      <c r="AO959" s="103"/>
      <c r="AP959" s="104"/>
      <c r="AR959" s="104"/>
      <c r="AS959" s="43"/>
      <c r="AT959" s="104"/>
      <c r="AV959" s="104"/>
      <c r="AW959" s="102"/>
    </row>
    <row r="960" spans="14:49">
      <c r="N960" s="101"/>
      <c r="AN960" s="102"/>
      <c r="AO960" s="103"/>
      <c r="AP960" s="104"/>
      <c r="AR960" s="104"/>
      <c r="AS960" s="43"/>
      <c r="AT960" s="104"/>
      <c r="AV960" s="104"/>
      <c r="AW960" s="102"/>
    </row>
    <row r="961" spans="14:49">
      <c r="N961" s="101"/>
      <c r="AN961" s="102"/>
      <c r="AO961" s="103"/>
      <c r="AP961" s="104"/>
      <c r="AR961" s="104"/>
      <c r="AS961" s="43"/>
      <c r="AT961" s="104"/>
      <c r="AV961" s="104"/>
      <c r="AW961" s="102"/>
    </row>
    <row r="962" spans="14:49">
      <c r="N962" s="101"/>
      <c r="AN962" s="102"/>
      <c r="AO962" s="103"/>
      <c r="AP962" s="104"/>
      <c r="AR962" s="104"/>
      <c r="AS962" s="43"/>
      <c r="AT962" s="104"/>
      <c r="AV962" s="104"/>
      <c r="AW962" s="102"/>
    </row>
    <row r="963" spans="14:49">
      <c r="N963" s="101"/>
      <c r="AN963" s="102"/>
      <c r="AO963" s="103"/>
      <c r="AP963" s="104"/>
      <c r="AR963" s="104"/>
      <c r="AS963" s="43"/>
      <c r="AT963" s="104"/>
      <c r="AV963" s="104"/>
      <c r="AW963" s="102"/>
    </row>
    <row r="964" spans="14:49">
      <c r="N964" s="101"/>
      <c r="AN964" s="102"/>
      <c r="AO964" s="103"/>
      <c r="AP964" s="104"/>
      <c r="AR964" s="104"/>
      <c r="AS964" s="43"/>
      <c r="AT964" s="104"/>
      <c r="AV964" s="104"/>
      <c r="AW964" s="102"/>
    </row>
    <row r="965" spans="14:49">
      <c r="N965" s="101"/>
      <c r="AN965" s="102"/>
      <c r="AO965" s="103"/>
      <c r="AP965" s="104"/>
      <c r="AR965" s="104"/>
      <c r="AS965" s="43"/>
      <c r="AT965" s="104"/>
      <c r="AV965" s="104"/>
      <c r="AW965" s="102"/>
    </row>
    <row r="966" spans="14:49">
      <c r="N966" s="101"/>
      <c r="AN966" s="102"/>
      <c r="AO966" s="103"/>
      <c r="AP966" s="104"/>
      <c r="AR966" s="104"/>
      <c r="AS966" s="43"/>
      <c r="AT966" s="104"/>
      <c r="AV966" s="104"/>
      <c r="AW966" s="102"/>
    </row>
    <row r="967" spans="14:49">
      <c r="N967" s="101"/>
      <c r="AN967" s="102"/>
      <c r="AO967" s="103"/>
      <c r="AP967" s="104"/>
      <c r="AR967" s="104"/>
      <c r="AS967" s="43"/>
      <c r="AT967" s="104"/>
      <c r="AV967" s="104"/>
      <c r="AW967" s="102"/>
    </row>
    <row r="968" spans="14:49">
      <c r="N968" s="101"/>
      <c r="AN968" s="102"/>
      <c r="AO968" s="103"/>
      <c r="AP968" s="104"/>
      <c r="AR968" s="104"/>
      <c r="AS968" s="43"/>
      <c r="AT968" s="104"/>
      <c r="AV968" s="104"/>
      <c r="AW968" s="102"/>
    </row>
    <row r="969" spans="14:49">
      <c r="N969" s="101"/>
      <c r="AN969" s="102"/>
      <c r="AO969" s="103"/>
      <c r="AP969" s="104"/>
      <c r="AR969" s="104"/>
      <c r="AS969" s="43"/>
      <c r="AT969" s="104"/>
      <c r="AV969" s="104"/>
      <c r="AW969" s="102"/>
    </row>
    <row r="970" spans="14:49">
      <c r="N970" s="101"/>
      <c r="AN970" s="102"/>
      <c r="AO970" s="103"/>
      <c r="AP970" s="104"/>
      <c r="AR970" s="104"/>
      <c r="AS970" s="43"/>
      <c r="AT970" s="104"/>
      <c r="AV970" s="104"/>
      <c r="AW970" s="102"/>
    </row>
    <row r="971" spans="14:49">
      <c r="N971" s="101"/>
      <c r="AN971" s="102"/>
      <c r="AO971" s="103"/>
      <c r="AP971" s="104"/>
      <c r="AR971" s="104"/>
      <c r="AS971" s="43"/>
      <c r="AT971" s="104"/>
      <c r="AV971" s="104"/>
      <c r="AW971" s="102"/>
    </row>
    <row r="972" spans="14:49">
      <c r="N972" s="101"/>
      <c r="AN972" s="102"/>
      <c r="AO972" s="103"/>
      <c r="AP972" s="104"/>
      <c r="AR972" s="104"/>
      <c r="AS972" s="43"/>
      <c r="AT972" s="104"/>
      <c r="AV972" s="104"/>
      <c r="AW972" s="102"/>
    </row>
    <row r="973" spans="14:49">
      <c r="N973" s="101"/>
      <c r="AN973" s="102"/>
      <c r="AO973" s="103"/>
      <c r="AP973" s="104"/>
      <c r="AR973" s="104"/>
      <c r="AS973" s="43"/>
      <c r="AT973" s="104"/>
      <c r="AV973" s="104"/>
      <c r="AW973" s="102"/>
    </row>
    <row r="974" spans="14:49">
      <c r="N974" s="101"/>
      <c r="AN974" s="102"/>
      <c r="AO974" s="103"/>
      <c r="AP974" s="104"/>
      <c r="AR974" s="104"/>
      <c r="AS974" s="43"/>
      <c r="AT974" s="104"/>
      <c r="AV974" s="104"/>
      <c r="AW974" s="102"/>
    </row>
    <row r="975" spans="14:49">
      <c r="N975" s="101"/>
      <c r="AN975" s="102"/>
      <c r="AO975" s="103"/>
      <c r="AP975" s="104"/>
      <c r="AR975" s="104"/>
      <c r="AS975" s="43"/>
      <c r="AT975" s="104"/>
      <c r="AV975" s="104"/>
      <c r="AW975" s="102"/>
    </row>
    <row r="976" spans="14:49">
      <c r="N976" s="101"/>
      <c r="AN976" s="102"/>
      <c r="AO976" s="103"/>
      <c r="AP976" s="104"/>
      <c r="AR976" s="104"/>
      <c r="AS976" s="43"/>
      <c r="AT976" s="104"/>
      <c r="AV976" s="104"/>
      <c r="AW976" s="102"/>
    </row>
    <row r="977" spans="14:49">
      <c r="N977" s="101"/>
      <c r="AN977" s="102"/>
      <c r="AO977" s="103"/>
      <c r="AP977" s="104"/>
      <c r="AR977" s="104"/>
      <c r="AS977" s="43"/>
      <c r="AT977" s="104"/>
      <c r="AV977" s="104"/>
      <c r="AW977" s="102"/>
    </row>
    <row r="978" spans="14:49">
      <c r="N978" s="101"/>
      <c r="AN978" s="102"/>
      <c r="AO978" s="103"/>
      <c r="AP978" s="104"/>
      <c r="AR978" s="104"/>
      <c r="AS978" s="43"/>
      <c r="AT978" s="104"/>
      <c r="AV978" s="104"/>
      <c r="AW978" s="102"/>
    </row>
    <row r="979" spans="14:49">
      <c r="N979" s="101"/>
      <c r="AN979" s="102"/>
      <c r="AO979" s="103"/>
      <c r="AP979" s="104"/>
      <c r="AR979" s="104"/>
      <c r="AS979" s="43"/>
      <c r="AT979" s="104"/>
      <c r="AV979" s="104"/>
      <c r="AW979" s="102"/>
    </row>
    <row r="980" spans="14:49">
      <c r="N980" s="101"/>
      <c r="AN980" s="102"/>
      <c r="AO980" s="103"/>
      <c r="AP980" s="104"/>
      <c r="AR980" s="104"/>
      <c r="AS980" s="43"/>
      <c r="AT980" s="104"/>
      <c r="AV980" s="104"/>
      <c r="AW980" s="102"/>
    </row>
    <row r="981" spans="14:49">
      <c r="N981" s="101"/>
      <c r="AN981" s="102"/>
      <c r="AO981" s="103"/>
      <c r="AP981" s="104"/>
      <c r="AR981" s="104"/>
      <c r="AS981" s="43"/>
      <c r="AT981" s="104"/>
      <c r="AV981" s="104"/>
      <c r="AW981" s="102"/>
    </row>
    <row r="982" spans="14:49">
      <c r="N982" s="101"/>
      <c r="AN982" s="102"/>
      <c r="AO982" s="103"/>
      <c r="AP982" s="104"/>
      <c r="AR982" s="104"/>
      <c r="AS982" s="43"/>
      <c r="AT982" s="104"/>
      <c r="AV982" s="104"/>
      <c r="AW982" s="102"/>
    </row>
    <row r="983" spans="14:49">
      <c r="N983" s="101"/>
      <c r="AN983" s="102"/>
      <c r="AO983" s="103"/>
      <c r="AP983" s="104"/>
      <c r="AR983" s="104"/>
      <c r="AS983" s="43"/>
      <c r="AT983" s="104"/>
      <c r="AV983" s="104"/>
      <c r="AW983" s="102"/>
    </row>
    <row r="984" spans="14:49">
      <c r="N984" s="101"/>
      <c r="AN984" s="102"/>
      <c r="AO984" s="103"/>
      <c r="AP984" s="104"/>
      <c r="AR984" s="104"/>
      <c r="AS984" s="43"/>
      <c r="AT984" s="104"/>
      <c r="AV984" s="104"/>
      <c r="AW984" s="102"/>
    </row>
    <row r="985" spans="14:49">
      <c r="N985" s="101"/>
      <c r="AN985" s="102"/>
      <c r="AO985" s="103"/>
      <c r="AP985" s="104"/>
      <c r="AR985" s="104"/>
      <c r="AS985" s="43"/>
      <c r="AT985" s="104"/>
      <c r="AV985" s="104"/>
      <c r="AW985" s="102"/>
    </row>
    <row r="986" spans="14:49">
      <c r="N986" s="101"/>
      <c r="Y986" s="78"/>
      <c r="AN986" s="102"/>
      <c r="AO986" s="103"/>
      <c r="AP986" s="104"/>
      <c r="AR986" s="104"/>
      <c r="AS986" s="43"/>
      <c r="AT986" s="104"/>
      <c r="AV986" s="104"/>
      <c r="AW986" s="102"/>
    </row>
    <row r="987" spans="14:49">
      <c r="N987" s="101"/>
      <c r="AN987" s="102"/>
      <c r="AO987" s="103"/>
      <c r="AP987" s="104"/>
      <c r="AR987" s="104"/>
      <c r="AS987" s="43"/>
      <c r="AT987" s="104"/>
      <c r="AV987" s="104"/>
      <c r="AW987" s="102"/>
    </row>
    <row r="988" spans="14:49">
      <c r="N988" s="101"/>
      <c r="AN988" s="102"/>
      <c r="AO988" s="103"/>
      <c r="AP988" s="104"/>
      <c r="AR988" s="104"/>
      <c r="AS988" s="43"/>
      <c r="AT988" s="104"/>
      <c r="AV988" s="104"/>
      <c r="AW988" s="102"/>
    </row>
    <row r="989" spans="14:49">
      <c r="N989" s="101"/>
      <c r="AN989" s="102"/>
      <c r="AO989" s="103"/>
      <c r="AP989" s="104"/>
      <c r="AR989" s="104"/>
      <c r="AS989" s="43"/>
      <c r="AT989" s="104"/>
      <c r="AV989" s="104"/>
      <c r="AW989" s="102"/>
    </row>
    <row r="990" spans="14:49">
      <c r="N990" s="101"/>
      <c r="AN990" s="102"/>
      <c r="AO990" s="103"/>
      <c r="AP990" s="104"/>
      <c r="AR990" s="104"/>
      <c r="AS990" s="43"/>
      <c r="AT990" s="104"/>
      <c r="AV990" s="104"/>
      <c r="AW990" s="102"/>
    </row>
    <row r="991" spans="14:49">
      <c r="N991" s="101"/>
      <c r="AN991" s="102"/>
      <c r="AO991" s="103"/>
      <c r="AP991" s="104"/>
      <c r="AR991" s="104"/>
      <c r="AS991" s="43"/>
      <c r="AT991" s="104"/>
      <c r="AV991" s="104"/>
      <c r="AW991" s="102"/>
    </row>
    <row r="992" spans="14:49">
      <c r="N992" s="101"/>
      <c r="AN992" s="102"/>
      <c r="AO992" s="103"/>
      <c r="AP992" s="104"/>
      <c r="AR992" s="104"/>
      <c r="AS992" s="43"/>
      <c r="AT992" s="104"/>
      <c r="AV992" s="104"/>
      <c r="AW992" s="102"/>
    </row>
    <row r="993" spans="14:49">
      <c r="N993" s="101"/>
      <c r="AN993" s="102"/>
      <c r="AO993" s="103"/>
      <c r="AP993" s="104"/>
      <c r="AR993" s="104"/>
      <c r="AS993" s="43"/>
      <c r="AT993" s="104"/>
      <c r="AV993" s="104"/>
      <c r="AW993" s="102"/>
    </row>
    <row r="994" spans="14:49">
      <c r="N994" s="101"/>
      <c r="AN994" s="102"/>
      <c r="AO994" s="103"/>
      <c r="AP994" s="104"/>
      <c r="AR994" s="104"/>
      <c r="AS994" s="43"/>
      <c r="AT994" s="104"/>
      <c r="AV994" s="104"/>
      <c r="AW994" s="102"/>
    </row>
    <row r="995" spans="14:49">
      <c r="N995" s="101"/>
      <c r="AN995" s="102"/>
      <c r="AO995" s="103"/>
      <c r="AP995" s="104"/>
      <c r="AR995" s="104"/>
      <c r="AS995" s="43"/>
      <c r="AT995" s="104"/>
      <c r="AV995" s="104"/>
      <c r="AW995" s="102"/>
    </row>
    <row r="996" spans="14:49">
      <c r="N996" s="101"/>
      <c r="AN996" s="102"/>
      <c r="AO996" s="103"/>
      <c r="AP996" s="104"/>
      <c r="AR996" s="104"/>
      <c r="AS996" s="43"/>
      <c r="AT996" s="104"/>
      <c r="AV996" s="104"/>
      <c r="AW996" s="102"/>
    </row>
    <row r="997" spans="14:49">
      <c r="N997" s="101"/>
      <c r="AN997" s="102"/>
      <c r="AO997" s="103"/>
      <c r="AP997" s="104"/>
      <c r="AR997" s="104"/>
      <c r="AS997" s="43"/>
      <c r="AT997" s="104"/>
      <c r="AV997" s="104"/>
      <c r="AW997" s="102"/>
    </row>
    <row r="998" spans="14:49">
      <c r="N998" s="101"/>
      <c r="AN998" s="102"/>
      <c r="AO998" s="103"/>
      <c r="AP998" s="104"/>
      <c r="AR998" s="104"/>
      <c r="AS998" s="43"/>
      <c r="AT998" s="104"/>
      <c r="AV998" s="104"/>
      <c r="AW998" s="102"/>
    </row>
    <row r="999" spans="14:49">
      <c r="N999" s="101"/>
      <c r="AN999" s="102"/>
      <c r="AO999" s="103"/>
      <c r="AP999" s="104"/>
      <c r="AR999" s="104"/>
      <c r="AS999" s="43"/>
      <c r="AT999" s="104"/>
      <c r="AV999" s="104"/>
      <c r="AW999" s="102"/>
    </row>
    <row r="1000" spans="14:49">
      <c r="N1000" s="101"/>
      <c r="AN1000" s="102"/>
      <c r="AO1000" s="103"/>
      <c r="AP1000" s="104"/>
      <c r="AR1000" s="104"/>
      <c r="AS1000" s="43"/>
      <c r="AT1000" s="104"/>
      <c r="AV1000" s="104"/>
      <c r="AW1000" s="102"/>
    </row>
    <row r="1001" spans="14:49">
      <c r="N1001" s="101"/>
      <c r="AN1001" s="102"/>
      <c r="AO1001" s="103"/>
      <c r="AP1001" s="104"/>
      <c r="AR1001" s="104"/>
      <c r="AS1001" s="43"/>
      <c r="AT1001" s="104"/>
      <c r="AV1001" s="104"/>
      <c r="AW1001" s="102"/>
    </row>
    <row r="1002" spans="14:49">
      <c r="N1002" s="101"/>
      <c r="AN1002" s="102"/>
      <c r="AO1002" s="103"/>
      <c r="AP1002" s="104"/>
      <c r="AR1002" s="104"/>
      <c r="AS1002" s="43"/>
      <c r="AT1002" s="104"/>
      <c r="AV1002" s="104"/>
      <c r="AW1002" s="102"/>
    </row>
    <row r="1003" spans="14:49">
      <c r="N1003" s="101"/>
      <c r="AN1003" s="102"/>
      <c r="AO1003" s="103"/>
      <c r="AP1003" s="104"/>
      <c r="AR1003" s="104"/>
      <c r="AS1003" s="43"/>
      <c r="AT1003" s="104"/>
      <c r="AV1003" s="104"/>
      <c r="AW1003" s="102"/>
    </row>
    <row r="1004" spans="14:49">
      <c r="N1004" s="101"/>
      <c r="AN1004" s="102"/>
      <c r="AO1004" s="103"/>
      <c r="AP1004" s="104"/>
      <c r="AR1004" s="104"/>
      <c r="AS1004" s="43"/>
      <c r="AT1004" s="104"/>
      <c r="AV1004" s="104"/>
      <c r="AW1004" s="102"/>
    </row>
    <row r="1005" spans="14:49">
      <c r="N1005" s="101"/>
      <c r="AN1005" s="102"/>
      <c r="AO1005" s="103"/>
      <c r="AP1005" s="104"/>
      <c r="AR1005" s="104"/>
      <c r="AS1005" s="43"/>
      <c r="AT1005" s="104"/>
      <c r="AV1005" s="104"/>
      <c r="AW1005" s="102"/>
    </row>
    <row r="1006" spans="14:49">
      <c r="N1006" s="101"/>
      <c r="AN1006" s="102"/>
      <c r="AO1006" s="103"/>
      <c r="AP1006" s="104"/>
      <c r="AR1006" s="104"/>
      <c r="AS1006" s="43"/>
      <c r="AT1006" s="104"/>
      <c r="AV1006" s="104"/>
      <c r="AW1006" s="102"/>
    </row>
    <row r="1007" spans="14:49">
      <c r="N1007" s="101"/>
      <c r="AN1007" s="102"/>
      <c r="AO1007" s="103"/>
      <c r="AP1007" s="104"/>
      <c r="AR1007" s="104"/>
      <c r="AS1007" s="43"/>
      <c r="AT1007" s="104"/>
      <c r="AV1007" s="104"/>
      <c r="AW1007" s="102"/>
    </row>
    <row r="1008" spans="14:49">
      <c r="N1008" s="101"/>
      <c r="AN1008" s="102"/>
      <c r="AO1008" s="103"/>
      <c r="AP1008" s="104"/>
      <c r="AR1008" s="104"/>
      <c r="AS1008" s="43"/>
      <c r="AT1008" s="104"/>
      <c r="AV1008" s="104"/>
      <c r="AW1008" s="102"/>
    </row>
    <row r="1009" spans="14:49">
      <c r="N1009" s="101"/>
      <c r="AN1009" s="102"/>
      <c r="AO1009" s="103"/>
      <c r="AP1009" s="104"/>
      <c r="AR1009" s="104"/>
      <c r="AS1009" s="43"/>
      <c r="AT1009" s="104"/>
      <c r="AV1009" s="104"/>
      <c r="AW1009" s="102"/>
    </row>
    <row r="1010" spans="14:49">
      <c r="N1010" s="101"/>
      <c r="AN1010" s="102"/>
      <c r="AO1010" s="103"/>
      <c r="AP1010" s="104"/>
      <c r="AR1010" s="104"/>
      <c r="AS1010" s="43"/>
      <c r="AT1010" s="104"/>
      <c r="AV1010" s="104"/>
      <c r="AW1010" s="102"/>
    </row>
    <row r="1011" spans="14:49">
      <c r="N1011" s="101"/>
      <c r="AN1011" s="102"/>
      <c r="AO1011" s="103"/>
      <c r="AP1011" s="104"/>
      <c r="AR1011" s="104"/>
      <c r="AS1011" s="43"/>
      <c r="AT1011" s="104"/>
      <c r="AV1011" s="104"/>
      <c r="AW1011" s="102"/>
    </row>
    <row r="1012" spans="14:49">
      <c r="N1012" s="101"/>
      <c r="AN1012" s="102"/>
      <c r="AO1012" s="103"/>
      <c r="AP1012" s="104"/>
      <c r="AR1012" s="104"/>
      <c r="AS1012" s="43"/>
      <c r="AT1012" s="104"/>
      <c r="AV1012" s="104"/>
      <c r="AW1012" s="102"/>
    </row>
    <row r="1013" spans="14:49">
      <c r="N1013" s="101"/>
      <c r="AN1013" s="102"/>
      <c r="AO1013" s="103"/>
      <c r="AP1013" s="104"/>
      <c r="AR1013" s="104"/>
      <c r="AS1013" s="43"/>
      <c r="AT1013" s="104"/>
      <c r="AV1013" s="104"/>
      <c r="AW1013" s="102"/>
    </row>
    <row r="1014" spans="14:49">
      <c r="N1014" s="101"/>
      <c r="AN1014" s="102"/>
      <c r="AO1014" s="103"/>
      <c r="AP1014" s="104"/>
      <c r="AR1014" s="104"/>
      <c r="AS1014" s="43"/>
      <c r="AT1014" s="104"/>
      <c r="AV1014" s="104"/>
      <c r="AW1014" s="102"/>
    </row>
    <row r="1015" spans="14:49">
      <c r="N1015" s="101"/>
      <c r="AN1015" s="102"/>
      <c r="AO1015" s="103"/>
      <c r="AP1015" s="104"/>
      <c r="AR1015" s="104"/>
      <c r="AS1015" s="43"/>
      <c r="AT1015" s="104"/>
      <c r="AV1015" s="104"/>
      <c r="AW1015" s="102"/>
    </row>
    <row r="1016" spans="14:49">
      <c r="N1016" s="101"/>
      <c r="AN1016" s="102"/>
      <c r="AO1016" s="103"/>
      <c r="AP1016" s="104"/>
      <c r="AR1016" s="104"/>
      <c r="AS1016" s="43"/>
      <c r="AT1016" s="104"/>
      <c r="AV1016" s="104"/>
      <c r="AW1016" s="102"/>
    </row>
    <row r="1017" spans="14:49">
      <c r="N1017" s="101"/>
      <c r="AN1017" s="102"/>
      <c r="AO1017" s="103"/>
      <c r="AP1017" s="104"/>
      <c r="AR1017" s="104"/>
      <c r="AS1017" s="43"/>
      <c r="AT1017" s="104"/>
      <c r="AV1017" s="104"/>
      <c r="AW1017" s="102"/>
    </row>
    <row r="1018" spans="14:49">
      <c r="N1018" s="101"/>
      <c r="AN1018" s="102"/>
      <c r="AO1018" s="103"/>
      <c r="AP1018" s="104"/>
      <c r="AR1018" s="104"/>
      <c r="AS1018" s="43"/>
      <c r="AT1018" s="104"/>
      <c r="AV1018" s="104"/>
      <c r="AW1018" s="102"/>
    </row>
    <row r="1019" spans="14:49">
      <c r="N1019" s="101"/>
      <c r="AN1019" s="102"/>
      <c r="AO1019" s="103"/>
      <c r="AP1019" s="104"/>
      <c r="AR1019" s="104"/>
      <c r="AS1019" s="43"/>
      <c r="AT1019" s="104"/>
      <c r="AV1019" s="104"/>
      <c r="AW1019" s="102"/>
    </row>
    <row r="1020" spans="14:49">
      <c r="N1020" s="101"/>
      <c r="AN1020" s="102"/>
      <c r="AO1020" s="103"/>
      <c r="AP1020" s="104"/>
      <c r="AR1020" s="104"/>
      <c r="AS1020" s="43"/>
      <c r="AT1020" s="104"/>
      <c r="AV1020" s="104"/>
      <c r="AW1020" s="102"/>
    </row>
    <row r="1021" spans="14:49">
      <c r="N1021" s="101"/>
      <c r="AN1021" s="102"/>
      <c r="AO1021" s="103"/>
      <c r="AP1021" s="104"/>
      <c r="AR1021" s="104"/>
      <c r="AS1021" s="43"/>
      <c r="AT1021" s="104"/>
      <c r="AV1021" s="104"/>
      <c r="AW1021" s="102"/>
    </row>
    <row r="1022" spans="14:49">
      <c r="N1022" s="101"/>
      <c r="AN1022" s="102"/>
      <c r="AO1022" s="103"/>
      <c r="AP1022" s="104"/>
      <c r="AR1022" s="104"/>
      <c r="AS1022" s="43"/>
      <c r="AT1022" s="104"/>
      <c r="AV1022" s="104"/>
      <c r="AW1022" s="102"/>
    </row>
    <row r="1023" spans="14:49">
      <c r="N1023" s="101"/>
      <c r="AN1023" s="102"/>
      <c r="AO1023" s="103"/>
      <c r="AP1023" s="104"/>
      <c r="AR1023" s="104"/>
      <c r="AS1023" s="43"/>
      <c r="AT1023" s="104"/>
      <c r="AV1023" s="104"/>
      <c r="AW1023" s="102"/>
    </row>
    <row r="1024" spans="14:49">
      <c r="N1024" s="101"/>
      <c r="AN1024" s="102"/>
      <c r="AO1024" s="103"/>
      <c r="AP1024" s="104"/>
      <c r="AR1024" s="104"/>
      <c r="AS1024" s="43"/>
      <c r="AT1024" s="104"/>
      <c r="AV1024" s="104"/>
      <c r="AW1024" s="102"/>
    </row>
    <row r="1025" spans="14:49">
      <c r="N1025" s="101"/>
      <c r="AN1025" s="102"/>
      <c r="AO1025" s="103"/>
      <c r="AP1025" s="104"/>
      <c r="AR1025" s="104"/>
      <c r="AS1025" s="43"/>
      <c r="AT1025" s="104"/>
      <c r="AV1025" s="104"/>
      <c r="AW1025" s="102"/>
    </row>
    <row r="1026" spans="14:49">
      <c r="N1026" s="101"/>
      <c r="AN1026" s="102"/>
      <c r="AO1026" s="103"/>
      <c r="AP1026" s="104"/>
      <c r="AR1026" s="104"/>
      <c r="AS1026" s="43"/>
      <c r="AT1026" s="104"/>
      <c r="AV1026" s="104"/>
      <c r="AW1026" s="102"/>
    </row>
    <row r="1027" spans="14:49">
      <c r="N1027" s="101"/>
      <c r="Y1027" s="78"/>
      <c r="AN1027" s="102"/>
      <c r="AO1027" s="103"/>
      <c r="AP1027" s="104"/>
      <c r="AR1027" s="104"/>
      <c r="AS1027" s="43"/>
      <c r="AT1027" s="104"/>
      <c r="AV1027" s="104"/>
      <c r="AW1027" s="102"/>
    </row>
    <row r="1028" spans="14:49">
      <c r="N1028" s="101"/>
      <c r="AN1028" s="102"/>
      <c r="AO1028" s="103"/>
      <c r="AP1028" s="104"/>
      <c r="AR1028" s="104"/>
      <c r="AS1028" s="43"/>
      <c r="AT1028" s="104"/>
      <c r="AV1028" s="104"/>
      <c r="AW1028" s="102"/>
    </row>
    <row r="1029" spans="14:49">
      <c r="N1029" s="101"/>
      <c r="AN1029" s="102"/>
      <c r="AO1029" s="103"/>
      <c r="AP1029" s="104"/>
      <c r="AR1029" s="104"/>
      <c r="AS1029" s="43"/>
      <c r="AT1029" s="104"/>
      <c r="AV1029" s="104"/>
      <c r="AW1029" s="102"/>
    </row>
    <row r="1030" spans="14:49">
      <c r="N1030" s="101"/>
      <c r="AN1030" s="102"/>
      <c r="AO1030" s="103"/>
      <c r="AP1030" s="104"/>
      <c r="AR1030" s="104"/>
      <c r="AS1030" s="43"/>
      <c r="AT1030" s="104"/>
      <c r="AV1030" s="104"/>
      <c r="AW1030" s="102"/>
    </row>
    <row r="1031" spans="14:49">
      <c r="N1031" s="101"/>
      <c r="AN1031" s="102"/>
      <c r="AO1031" s="103"/>
      <c r="AP1031" s="104"/>
      <c r="AR1031" s="104"/>
      <c r="AS1031" s="43"/>
      <c r="AT1031" s="104"/>
      <c r="AV1031" s="104"/>
      <c r="AW1031" s="102"/>
    </row>
    <row r="1032" spans="14:49">
      <c r="N1032" s="101"/>
      <c r="AN1032" s="102"/>
      <c r="AO1032" s="103"/>
      <c r="AP1032" s="104"/>
      <c r="AR1032" s="104"/>
      <c r="AS1032" s="43"/>
      <c r="AT1032" s="104"/>
      <c r="AV1032" s="104"/>
      <c r="AW1032" s="102"/>
    </row>
    <row r="1033" spans="14:49">
      <c r="N1033" s="101"/>
      <c r="AN1033" s="102"/>
      <c r="AO1033" s="103"/>
      <c r="AP1033" s="104"/>
      <c r="AR1033" s="104"/>
      <c r="AS1033" s="43"/>
      <c r="AT1033" s="104"/>
      <c r="AV1033" s="104"/>
      <c r="AW1033" s="102"/>
    </row>
    <row r="1034" spans="14:49">
      <c r="N1034" s="101"/>
      <c r="AN1034" s="102"/>
      <c r="AO1034" s="103"/>
      <c r="AP1034" s="104"/>
      <c r="AR1034" s="104"/>
      <c r="AS1034" s="43"/>
      <c r="AT1034" s="104"/>
      <c r="AV1034" s="104"/>
      <c r="AW1034" s="102"/>
    </row>
    <row r="1035" spans="14:49">
      <c r="N1035" s="101"/>
      <c r="AN1035" s="102"/>
      <c r="AO1035" s="103"/>
      <c r="AP1035" s="104"/>
      <c r="AR1035" s="104"/>
      <c r="AS1035" s="43"/>
      <c r="AT1035" s="104"/>
      <c r="AV1035" s="104"/>
      <c r="AW1035" s="102"/>
    </row>
    <row r="1036" spans="14:49">
      <c r="N1036" s="101"/>
      <c r="AN1036" s="102"/>
      <c r="AO1036" s="103"/>
      <c r="AP1036" s="104"/>
      <c r="AR1036" s="104"/>
      <c r="AS1036" s="43"/>
      <c r="AT1036" s="104"/>
      <c r="AV1036" s="104"/>
      <c r="AW1036" s="102"/>
    </row>
    <row r="1037" spans="14:49">
      <c r="N1037" s="101"/>
      <c r="AN1037" s="102"/>
      <c r="AO1037" s="103"/>
      <c r="AP1037" s="104"/>
      <c r="AR1037" s="104"/>
      <c r="AS1037" s="43"/>
      <c r="AT1037" s="104"/>
      <c r="AV1037" s="104"/>
      <c r="AW1037" s="102"/>
    </row>
    <row r="1038" spans="14:49">
      <c r="N1038" s="101"/>
      <c r="AN1038" s="102"/>
      <c r="AO1038" s="103"/>
      <c r="AP1038" s="104"/>
      <c r="AR1038" s="104"/>
      <c r="AS1038" s="43"/>
      <c r="AT1038" s="104"/>
      <c r="AV1038" s="104"/>
      <c r="AW1038" s="102"/>
    </row>
    <row r="1039" spans="14:49">
      <c r="N1039" s="101"/>
      <c r="AN1039" s="102"/>
      <c r="AO1039" s="103"/>
      <c r="AP1039" s="104"/>
      <c r="AR1039" s="104"/>
      <c r="AS1039" s="43"/>
      <c r="AT1039" s="104"/>
      <c r="AV1039" s="104"/>
      <c r="AW1039" s="102"/>
    </row>
    <row r="1040" spans="14:49">
      <c r="N1040" s="101"/>
      <c r="AN1040" s="102"/>
      <c r="AO1040" s="103"/>
      <c r="AP1040" s="104"/>
      <c r="AR1040" s="104"/>
      <c r="AS1040" s="43"/>
      <c r="AT1040" s="104"/>
      <c r="AV1040" s="104"/>
      <c r="AW1040" s="102"/>
    </row>
    <row r="1041" spans="14:49">
      <c r="N1041" s="101"/>
      <c r="AN1041" s="102"/>
      <c r="AO1041" s="103"/>
      <c r="AP1041" s="104"/>
      <c r="AR1041" s="104"/>
      <c r="AS1041" s="43"/>
      <c r="AT1041" s="104"/>
      <c r="AV1041" s="104"/>
      <c r="AW1041" s="102"/>
    </row>
    <row r="1042" spans="14:49">
      <c r="N1042" s="101"/>
      <c r="AN1042" s="102"/>
      <c r="AO1042" s="103"/>
      <c r="AP1042" s="104"/>
      <c r="AR1042" s="104"/>
      <c r="AS1042" s="43"/>
      <c r="AT1042" s="104"/>
      <c r="AV1042" s="104"/>
      <c r="AW1042" s="102"/>
    </row>
    <row r="1043" spans="14:49">
      <c r="N1043" s="101"/>
      <c r="AN1043" s="102"/>
      <c r="AO1043" s="103"/>
      <c r="AP1043" s="104"/>
      <c r="AR1043" s="104"/>
      <c r="AS1043" s="43"/>
      <c r="AT1043" s="104"/>
      <c r="AV1043" s="104"/>
      <c r="AW1043" s="102"/>
    </row>
    <row r="1044" spans="14:49">
      <c r="N1044" s="101"/>
      <c r="AN1044" s="102"/>
      <c r="AO1044" s="103"/>
      <c r="AP1044" s="104"/>
      <c r="AR1044" s="104"/>
      <c r="AS1044" s="43"/>
      <c r="AT1044" s="104"/>
      <c r="AV1044" s="104"/>
      <c r="AW1044" s="102"/>
    </row>
    <row r="1045" spans="14:49">
      <c r="N1045" s="101"/>
      <c r="AN1045" s="102"/>
      <c r="AO1045" s="103"/>
      <c r="AP1045" s="104"/>
      <c r="AR1045" s="104"/>
      <c r="AS1045" s="43"/>
      <c r="AT1045" s="104"/>
      <c r="AV1045" s="104"/>
      <c r="AW1045" s="102"/>
    </row>
    <row r="1046" spans="14:49">
      <c r="N1046" s="101"/>
      <c r="AN1046" s="102"/>
      <c r="AO1046" s="103"/>
      <c r="AP1046" s="104"/>
      <c r="AR1046" s="104"/>
      <c r="AS1046" s="43"/>
      <c r="AT1046" s="104"/>
      <c r="AV1046" s="104"/>
      <c r="AW1046" s="102"/>
    </row>
    <row r="1047" spans="14:49">
      <c r="N1047" s="101"/>
      <c r="AN1047" s="102"/>
      <c r="AO1047" s="103"/>
      <c r="AP1047" s="104"/>
      <c r="AR1047" s="104"/>
      <c r="AS1047" s="43"/>
      <c r="AT1047" s="104"/>
      <c r="AV1047" s="104"/>
      <c r="AW1047" s="102"/>
    </row>
    <row r="1048" spans="14:49">
      <c r="N1048" s="101"/>
      <c r="AN1048" s="102"/>
      <c r="AO1048" s="103"/>
      <c r="AP1048" s="104"/>
      <c r="AR1048" s="104"/>
      <c r="AS1048" s="43"/>
      <c r="AT1048" s="104"/>
      <c r="AV1048" s="104"/>
      <c r="AW1048" s="102"/>
    </row>
    <row r="1049" spans="14:49">
      <c r="N1049" s="101"/>
      <c r="AN1049" s="102"/>
      <c r="AO1049" s="103"/>
      <c r="AP1049" s="104"/>
      <c r="AR1049" s="104"/>
      <c r="AS1049" s="43"/>
      <c r="AT1049" s="104"/>
      <c r="AV1049" s="104"/>
      <c r="AW1049" s="102"/>
    </row>
    <row r="1050" spans="14:49">
      <c r="N1050" s="101"/>
      <c r="AN1050" s="102"/>
      <c r="AO1050" s="103"/>
      <c r="AP1050" s="104"/>
      <c r="AR1050" s="104"/>
      <c r="AS1050" s="43"/>
      <c r="AT1050" s="104"/>
      <c r="AV1050" s="104"/>
      <c r="AW1050" s="102"/>
    </row>
    <row r="1051" spans="14:49">
      <c r="N1051" s="101"/>
      <c r="AN1051" s="102"/>
      <c r="AO1051" s="103"/>
      <c r="AP1051" s="104"/>
      <c r="AR1051" s="104"/>
      <c r="AS1051" s="43"/>
      <c r="AT1051" s="104"/>
      <c r="AV1051" s="104"/>
      <c r="AW1051" s="102"/>
    </row>
    <row r="1052" spans="14:49">
      <c r="N1052" s="101"/>
      <c r="AN1052" s="102"/>
      <c r="AO1052" s="103"/>
      <c r="AP1052" s="104"/>
      <c r="AR1052" s="104"/>
      <c r="AS1052" s="43"/>
      <c r="AT1052" s="104"/>
      <c r="AV1052" s="104"/>
      <c r="AW1052" s="102"/>
    </row>
    <row r="1053" spans="14:49">
      <c r="N1053" s="101"/>
      <c r="AN1053" s="102"/>
      <c r="AO1053" s="103"/>
      <c r="AP1053" s="104"/>
      <c r="AR1053" s="104"/>
      <c r="AS1053" s="43"/>
      <c r="AT1053" s="104"/>
      <c r="AV1053" s="104"/>
      <c r="AW1053" s="102"/>
    </row>
    <row r="1054" spans="14:49">
      <c r="N1054" s="101"/>
      <c r="AN1054" s="102"/>
      <c r="AO1054" s="103"/>
      <c r="AP1054" s="104"/>
      <c r="AR1054" s="104"/>
      <c r="AS1054" s="43"/>
      <c r="AT1054" s="104"/>
      <c r="AV1054" s="104"/>
      <c r="AW1054" s="102"/>
    </row>
    <row r="1055" spans="14:49">
      <c r="N1055" s="101"/>
      <c r="AN1055" s="102"/>
      <c r="AO1055" s="103"/>
      <c r="AP1055" s="104"/>
      <c r="AR1055" s="104"/>
      <c r="AS1055" s="43"/>
      <c r="AT1055" s="104"/>
      <c r="AV1055" s="104"/>
      <c r="AW1055" s="102"/>
    </row>
    <row r="1056" spans="14:49">
      <c r="N1056" s="101"/>
      <c r="AN1056" s="102"/>
      <c r="AO1056" s="103"/>
      <c r="AP1056" s="104"/>
      <c r="AR1056" s="104"/>
      <c r="AS1056" s="43"/>
      <c r="AT1056" s="104"/>
      <c r="AV1056" s="104"/>
      <c r="AW1056" s="102"/>
    </row>
    <row r="1057" spans="14:49">
      <c r="N1057" s="101"/>
      <c r="AN1057" s="102"/>
      <c r="AO1057" s="103"/>
      <c r="AP1057" s="104"/>
      <c r="AR1057" s="104"/>
      <c r="AS1057" s="43"/>
      <c r="AT1057" s="104"/>
      <c r="AV1057" s="104"/>
      <c r="AW1057" s="102"/>
    </row>
    <row r="1058" spans="14:49">
      <c r="N1058" s="101"/>
      <c r="AN1058" s="102"/>
      <c r="AO1058" s="103"/>
      <c r="AP1058" s="104"/>
      <c r="AR1058" s="104"/>
      <c r="AS1058" s="43"/>
      <c r="AT1058" s="104"/>
      <c r="AV1058" s="104"/>
      <c r="AW1058" s="102"/>
    </row>
    <row r="1059" spans="14:49">
      <c r="N1059" s="101"/>
      <c r="AN1059" s="102"/>
      <c r="AO1059" s="103"/>
      <c r="AP1059" s="104"/>
      <c r="AR1059" s="104"/>
      <c r="AS1059" s="43"/>
      <c r="AT1059" s="104"/>
      <c r="AV1059" s="104"/>
      <c r="AW1059" s="102"/>
    </row>
    <row r="1060" spans="14:49">
      <c r="N1060" s="101"/>
      <c r="AN1060" s="102"/>
      <c r="AO1060" s="103"/>
      <c r="AP1060" s="104"/>
      <c r="AR1060" s="104"/>
      <c r="AS1060" s="43"/>
      <c r="AT1060" s="104"/>
      <c r="AV1060" s="104"/>
      <c r="AW1060" s="102"/>
    </row>
    <row r="1061" spans="14:49">
      <c r="N1061" s="101"/>
      <c r="AN1061" s="102"/>
      <c r="AO1061" s="103"/>
      <c r="AP1061" s="104"/>
      <c r="AR1061" s="104"/>
      <c r="AS1061" s="43"/>
      <c r="AT1061" s="104"/>
      <c r="AV1061" s="104"/>
      <c r="AW1061" s="102"/>
    </row>
    <row r="1062" spans="14:49">
      <c r="N1062" s="101"/>
      <c r="AN1062" s="102"/>
      <c r="AO1062" s="103"/>
      <c r="AP1062" s="104"/>
      <c r="AR1062" s="104"/>
      <c r="AS1062" s="43"/>
      <c r="AT1062" s="104"/>
      <c r="AV1062" s="104"/>
      <c r="AW1062" s="102"/>
    </row>
    <row r="1063" spans="14:49">
      <c r="N1063" s="101"/>
      <c r="AN1063" s="102"/>
      <c r="AO1063" s="103"/>
      <c r="AP1063" s="104"/>
      <c r="AR1063" s="104"/>
      <c r="AS1063" s="43"/>
      <c r="AT1063" s="104"/>
      <c r="AV1063" s="104"/>
      <c r="AW1063" s="102"/>
    </row>
    <row r="1064" spans="14:49">
      <c r="N1064" s="101"/>
      <c r="AN1064" s="102"/>
      <c r="AO1064" s="103"/>
      <c r="AP1064" s="104"/>
      <c r="AR1064" s="104"/>
      <c r="AS1064" s="43"/>
      <c r="AT1064" s="104"/>
      <c r="AV1064" s="104"/>
      <c r="AW1064" s="102"/>
    </row>
    <row r="1065" spans="14:49">
      <c r="N1065" s="101"/>
      <c r="AN1065" s="102"/>
      <c r="AO1065" s="103"/>
      <c r="AP1065" s="104"/>
      <c r="AR1065" s="104"/>
      <c r="AS1065" s="43"/>
      <c r="AT1065" s="104"/>
      <c r="AV1065" s="104"/>
      <c r="AW1065" s="102"/>
    </row>
    <row r="1066" spans="14:49">
      <c r="N1066" s="101"/>
      <c r="AN1066" s="102"/>
      <c r="AO1066" s="103"/>
      <c r="AP1066" s="104"/>
      <c r="AR1066" s="104"/>
      <c r="AS1066" s="43"/>
      <c r="AT1066" s="104"/>
      <c r="AV1066" s="104"/>
      <c r="AW1066" s="102"/>
    </row>
    <row r="1067" spans="14:49">
      <c r="N1067" s="101"/>
      <c r="AN1067" s="102"/>
      <c r="AO1067" s="103"/>
      <c r="AP1067" s="104"/>
      <c r="AR1067" s="104"/>
      <c r="AS1067" s="43"/>
      <c r="AT1067" s="104"/>
      <c r="AV1067" s="104"/>
      <c r="AW1067" s="102"/>
    </row>
    <row r="1068" spans="14:49">
      <c r="N1068" s="101"/>
      <c r="Y1068" s="78"/>
      <c r="AN1068" s="102"/>
      <c r="AO1068" s="103"/>
      <c r="AP1068" s="104"/>
      <c r="AR1068" s="104"/>
      <c r="AS1068" s="43"/>
      <c r="AT1068" s="104"/>
      <c r="AV1068" s="104"/>
      <c r="AW1068" s="102"/>
    </row>
    <row r="1069" spans="14:49">
      <c r="N1069" s="101"/>
      <c r="AN1069" s="102"/>
      <c r="AO1069" s="103"/>
      <c r="AP1069" s="104"/>
      <c r="AR1069" s="104"/>
      <c r="AS1069" s="43"/>
      <c r="AT1069" s="104"/>
      <c r="AV1069" s="104"/>
      <c r="AW1069" s="102"/>
    </row>
    <row r="1070" spans="14:49">
      <c r="N1070" s="101"/>
      <c r="AN1070" s="102"/>
      <c r="AO1070" s="103"/>
      <c r="AP1070" s="104"/>
      <c r="AR1070" s="104"/>
      <c r="AS1070" s="43"/>
      <c r="AT1070" s="104"/>
      <c r="AV1070" s="104"/>
      <c r="AW1070" s="102"/>
    </row>
    <row r="1071" spans="14:49">
      <c r="N1071" s="101"/>
      <c r="AN1071" s="102"/>
      <c r="AO1071" s="103"/>
      <c r="AP1071" s="104"/>
      <c r="AR1071" s="104"/>
      <c r="AS1071" s="43"/>
      <c r="AT1071" s="104"/>
      <c r="AV1071" s="104"/>
      <c r="AW1071" s="102"/>
    </row>
    <row r="1072" spans="14:49">
      <c r="N1072" s="101"/>
      <c r="AN1072" s="102"/>
      <c r="AO1072" s="103"/>
      <c r="AP1072" s="104"/>
      <c r="AR1072" s="104"/>
      <c r="AS1072" s="43"/>
      <c r="AT1072" s="104"/>
      <c r="AV1072" s="104"/>
      <c r="AW1072" s="102"/>
    </row>
    <row r="1073" spans="14:49">
      <c r="N1073" s="101"/>
      <c r="AN1073" s="102"/>
      <c r="AO1073" s="103"/>
      <c r="AP1073" s="104"/>
      <c r="AR1073" s="104"/>
      <c r="AS1073" s="43"/>
      <c r="AT1073" s="104"/>
      <c r="AV1073" s="104"/>
      <c r="AW1073" s="102"/>
    </row>
    <row r="1074" spans="14:49">
      <c r="N1074" s="101"/>
      <c r="AN1074" s="102"/>
      <c r="AO1074" s="103"/>
      <c r="AP1074" s="104"/>
      <c r="AR1074" s="104"/>
      <c r="AS1074" s="43"/>
      <c r="AT1074" s="104"/>
      <c r="AV1074" s="104"/>
      <c r="AW1074" s="102"/>
    </row>
    <row r="1075" spans="14:49">
      <c r="N1075" s="101"/>
      <c r="AN1075" s="102"/>
      <c r="AO1075" s="103"/>
      <c r="AP1075" s="104"/>
      <c r="AR1075" s="104"/>
      <c r="AS1075" s="43"/>
      <c r="AT1075" s="104"/>
      <c r="AV1075" s="104"/>
      <c r="AW1075" s="102"/>
    </row>
    <row r="1076" spans="14:49">
      <c r="N1076" s="101"/>
      <c r="AN1076" s="102"/>
      <c r="AO1076" s="103"/>
      <c r="AP1076" s="104"/>
      <c r="AR1076" s="104"/>
      <c r="AS1076" s="43"/>
      <c r="AT1076" s="104"/>
      <c r="AV1076" s="104"/>
      <c r="AW1076" s="102"/>
    </row>
    <row r="1077" spans="14:49">
      <c r="N1077" s="101"/>
      <c r="AN1077" s="102"/>
      <c r="AO1077" s="103"/>
      <c r="AP1077" s="104"/>
      <c r="AR1077" s="104"/>
      <c r="AS1077" s="43"/>
      <c r="AT1077" s="104"/>
      <c r="AV1077" s="104"/>
      <c r="AW1077" s="102"/>
    </row>
    <row r="1078" spans="14:49">
      <c r="N1078" s="101"/>
      <c r="AN1078" s="102"/>
      <c r="AO1078" s="103"/>
      <c r="AP1078" s="104"/>
      <c r="AR1078" s="104"/>
      <c r="AS1078" s="43"/>
      <c r="AT1078" s="104"/>
      <c r="AV1078" s="104"/>
      <c r="AW1078" s="102"/>
    </row>
    <row r="1079" spans="14:49">
      <c r="N1079" s="101"/>
      <c r="AN1079" s="102"/>
      <c r="AO1079" s="103"/>
      <c r="AP1079" s="104"/>
      <c r="AR1079" s="104"/>
      <c r="AS1079" s="43"/>
      <c r="AT1079" s="104"/>
      <c r="AV1079" s="104"/>
      <c r="AW1079" s="102"/>
    </row>
    <row r="1080" spans="14:49">
      <c r="N1080" s="101"/>
      <c r="AN1080" s="102"/>
      <c r="AO1080" s="103"/>
      <c r="AP1080" s="104"/>
      <c r="AR1080" s="104"/>
      <c r="AS1080" s="43"/>
      <c r="AT1080" s="104"/>
      <c r="AV1080" s="104"/>
      <c r="AW1080" s="102"/>
    </row>
    <row r="1081" spans="14:49">
      <c r="N1081" s="101"/>
      <c r="AN1081" s="102"/>
      <c r="AO1081" s="103"/>
      <c r="AP1081" s="104"/>
      <c r="AR1081" s="104"/>
      <c r="AS1081" s="43"/>
      <c r="AT1081" s="104"/>
      <c r="AV1081" s="104"/>
      <c r="AW1081" s="102"/>
    </row>
    <row r="1082" spans="14:49">
      <c r="N1082" s="101"/>
      <c r="AN1082" s="102"/>
      <c r="AO1082" s="103"/>
      <c r="AP1082" s="104"/>
      <c r="AR1082" s="104"/>
      <c r="AS1082" s="43"/>
      <c r="AT1082" s="104"/>
      <c r="AV1082" s="104"/>
      <c r="AW1082" s="102"/>
    </row>
    <row r="1083" spans="14:49">
      <c r="N1083" s="101"/>
      <c r="AN1083" s="102"/>
      <c r="AO1083" s="103"/>
      <c r="AP1083" s="104"/>
      <c r="AR1083" s="104"/>
      <c r="AS1083" s="43"/>
      <c r="AT1083" s="104"/>
      <c r="AV1083" s="104"/>
      <c r="AW1083" s="102"/>
    </row>
    <row r="1084" spans="14:49">
      <c r="N1084" s="101"/>
      <c r="AN1084" s="102"/>
      <c r="AO1084" s="103"/>
      <c r="AP1084" s="104"/>
      <c r="AR1084" s="104"/>
      <c r="AS1084" s="43"/>
      <c r="AT1084" s="104"/>
      <c r="AV1084" s="104"/>
      <c r="AW1084" s="102"/>
    </row>
    <row r="1085" spans="14:49">
      <c r="N1085" s="101"/>
      <c r="AN1085" s="102"/>
      <c r="AO1085" s="103"/>
      <c r="AP1085" s="104"/>
      <c r="AR1085" s="104"/>
      <c r="AS1085" s="43"/>
      <c r="AT1085" s="104"/>
      <c r="AV1085" s="104"/>
      <c r="AW1085" s="102"/>
    </row>
    <row r="1086" spans="14:49">
      <c r="N1086" s="101"/>
      <c r="AN1086" s="102"/>
      <c r="AO1086" s="103"/>
      <c r="AP1086" s="104"/>
      <c r="AR1086" s="104"/>
      <c r="AS1086" s="43"/>
      <c r="AT1086" s="104"/>
      <c r="AV1086" s="104"/>
      <c r="AW1086" s="102"/>
    </row>
    <row r="1087" spans="14:49">
      <c r="N1087" s="101"/>
      <c r="AN1087" s="102"/>
      <c r="AO1087" s="103"/>
      <c r="AP1087" s="104"/>
      <c r="AR1087" s="104"/>
      <c r="AS1087" s="43"/>
      <c r="AT1087" s="104"/>
      <c r="AV1087" s="104"/>
      <c r="AW1087" s="102"/>
    </row>
    <row r="1088" spans="14:49">
      <c r="N1088" s="101"/>
      <c r="AN1088" s="102"/>
      <c r="AO1088" s="103"/>
      <c r="AP1088" s="104"/>
      <c r="AR1088" s="104"/>
      <c r="AS1088" s="43"/>
      <c r="AT1088" s="104"/>
      <c r="AV1088" s="104"/>
      <c r="AW1088" s="102"/>
    </row>
    <row r="1089" spans="14:49">
      <c r="N1089" s="101"/>
      <c r="AN1089" s="102"/>
      <c r="AO1089" s="103"/>
      <c r="AP1089" s="104"/>
      <c r="AR1089" s="104"/>
      <c r="AS1089" s="43"/>
      <c r="AT1089" s="104"/>
      <c r="AV1089" s="104"/>
      <c r="AW1089" s="102"/>
    </row>
    <row r="1090" spans="14:49">
      <c r="N1090" s="101"/>
      <c r="AN1090" s="102"/>
      <c r="AO1090" s="103"/>
      <c r="AP1090" s="104"/>
      <c r="AR1090" s="104"/>
      <c r="AS1090" s="43"/>
      <c r="AT1090" s="104"/>
      <c r="AV1090" s="104"/>
      <c r="AW1090" s="102"/>
    </row>
    <row r="1091" spans="14:49">
      <c r="N1091" s="101"/>
      <c r="AN1091" s="102"/>
      <c r="AO1091" s="103"/>
      <c r="AP1091" s="104"/>
      <c r="AR1091" s="104"/>
      <c r="AS1091" s="43"/>
      <c r="AT1091" s="104"/>
      <c r="AV1091" s="104"/>
      <c r="AW1091" s="102"/>
    </row>
    <row r="1092" spans="14:49">
      <c r="N1092" s="101"/>
      <c r="AN1092" s="102"/>
      <c r="AO1092" s="103"/>
      <c r="AP1092" s="104"/>
      <c r="AR1092" s="104"/>
      <c r="AS1092" s="43"/>
      <c r="AT1092" s="104"/>
      <c r="AV1092" s="104"/>
      <c r="AW1092" s="102"/>
    </row>
    <row r="1093" spans="14:49">
      <c r="N1093" s="101"/>
      <c r="AN1093" s="102"/>
      <c r="AO1093" s="103"/>
      <c r="AP1093" s="104"/>
      <c r="AR1093" s="104"/>
      <c r="AS1093" s="43"/>
      <c r="AT1093" s="104"/>
      <c r="AV1093" s="104"/>
      <c r="AW1093" s="102"/>
    </row>
    <row r="1094" spans="14:49">
      <c r="N1094" s="101"/>
      <c r="AN1094" s="102"/>
      <c r="AO1094" s="103"/>
      <c r="AP1094" s="104"/>
      <c r="AR1094" s="104"/>
      <c r="AS1094" s="43"/>
      <c r="AT1094" s="104"/>
      <c r="AV1094" s="104"/>
      <c r="AW1094" s="102"/>
    </row>
    <row r="1095" spans="14:49">
      <c r="N1095" s="101"/>
      <c r="AN1095" s="102"/>
      <c r="AO1095" s="103"/>
      <c r="AP1095" s="104"/>
      <c r="AR1095" s="104"/>
      <c r="AS1095" s="43"/>
      <c r="AT1095" s="104"/>
      <c r="AV1095" s="104"/>
      <c r="AW1095" s="102"/>
    </row>
    <row r="1096" spans="14:49">
      <c r="N1096" s="101"/>
      <c r="AN1096" s="102"/>
      <c r="AO1096" s="103"/>
      <c r="AP1096" s="104"/>
      <c r="AR1096" s="104"/>
      <c r="AS1096" s="43"/>
      <c r="AT1096" s="104"/>
      <c r="AV1096" s="104"/>
      <c r="AW1096" s="102"/>
    </row>
    <row r="1097" spans="14:49">
      <c r="N1097" s="101"/>
      <c r="AN1097" s="102"/>
      <c r="AO1097" s="103"/>
      <c r="AP1097" s="104"/>
      <c r="AR1097" s="104"/>
      <c r="AS1097" s="43"/>
      <c r="AT1097" s="104"/>
      <c r="AV1097" s="104"/>
      <c r="AW1097" s="102"/>
    </row>
    <row r="1098" spans="14:49">
      <c r="N1098" s="101"/>
      <c r="AN1098" s="102"/>
      <c r="AO1098" s="103"/>
      <c r="AP1098" s="104"/>
      <c r="AR1098" s="104"/>
      <c r="AS1098" s="43"/>
      <c r="AT1098" s="104"/>
      <c r="AV1098" s="104"/>
      <c r="AW1098" s="102"/>
    </row>
    <row r="1099" spans="14:49">
      <c r="N1099" s="101"/>
      <c r="AN1099" s="102"/>
      <c r="AO1099" s="103"/>
      <c r="AP1099" s="104"/>
      <c r="AR1099" s="104"/>
      <c r="AS1099" s="43"/>
      <c r="AT1099" s="104"/>
      <c r="AV1099" s="104"/>
      <c r="AW1099" s="102"/>
    </row>
    <row r="1100" spans="14:49">
      <c r="N1100" s="101"/>
      <c r="AN1100" s="102"/>
      <c r="AO1100" s="103"/>
      <c r="AP1100" s="104"/>
      <c r="AR1100" s="104"/>
      <c r="AS1100" s="43"/>
      <c r="AT1100" s="104"/>
      <c r="AV1100" s="104"/>
      <c r="AW1100" s="102"/>
    </row>
    <row r="1101" spans="14:49">
      <c r="N1101" s="101"/>
      <c r="AN1101" s="102"/>
      <c r="AO1101" s="103"/>
      <c r="AP1101" s="104"/>
      <c r="AR1101" s="104"/>
      <c r="AS1101" s="43"/>
      <c r="AT1101" s="104"/>
      <c r="AV1101" s="104"/>
      <c r="AW1101" s="102"/>
    </row>
    <row r="1102" spans="14:49">
      <c r="N1102" s="101"/>
      <c r="AN1102" s="102"/>
      <c r="AO1102" s="103"/>
      <c r="AP1102" s="104"/>
      <c r="AR1102" s="104"/>
      <c r="AS1102" s="43"/>
      <c r="AT1102" s="104"/>
      <c r="AV1102" s="104"/>
      <c r="AW1102" s="102"/>
    </row>
    <row r="1103" spans="14:49">
      <c r="N1103" s="101"/>
      <c r="AN1103" s="102"/>
      <c r="AO1103" s="103"/>
      <c r="AP1103" s="104"/>
      <c r="AR1103" s="104"/>
      <c r="AS1103" s="43"/>
      <c r="AT1103" s="104"/>
      <c r="AV1103" s="104"/>
      <c r="AW1103" s="102"/>
    </row>
    <row r="1104" spans="14:49">
      <c r="N1104" s="101"/>
      <c r="AN1104" s="102"/>
      <c r="AO1104" s="103"/>
      <c r="AP1104" s="104"/>
      <c r="AR1104" s="104"/>
      <c r="AS1104" s="43"/>
      <c r="AT1104" s="104"/>
      <c r="AV1104" s="104"/>
      <c r="AW1104" s="102"/>
    </row>
    <row r="1105" spans="14:49">
      <c r="N1105" s="101"/>
      <c r="AN1105" s="102"/>
      <c r="AO1105" s="103"/>
      <c r="AP1105" s="104"/>
      <c r="AR1105" s="104"/>
      <c r="AS1105" s="43"/>
      <c r="AT1105" s="104"/>
      <c r="AV1105" s="104"/>
      <c r="AW1105" s="102"/>
    </row>
    <row r="1106" spans="14:49">
      <c r="N1106" s="101"/>
      <c r="AN1106" s="102"/>
      <c r="AO1106" s="103"/>
      <c r="AP1106" s="104"/>
      <c r="AR1106" s="104"/>
      <c r="AS1106" s="43"/>
      <c r="AT1106" s="104"/>
      <c r="AV1106" s="104"/>
      <c r="AW1106" s="102"/>
    </row>
    <row r="1107" spans="14:49">
      <c r="N1107" s="101"/>
      <c r="AN1107" s="102"/>
      <c r="AO1107" s="103"/>
      <c r="AP1107" s="104"/>
      <c r="AR1107" s="104"/>
      <c r="AS1107" s="43"/>
      <c r="AT1107" s="104"/>
      <c r="AV1107" s="104"/>
      <c r="AW1107" s="102"/>
    </row>
    <row r="1108" spans="14:49">
      <c r="N1108" s="101"/>
      <c r="AN1108" s="102"/>
      <c r="AO1108" s="103"/>
      <c r="AP1108" s="104"/>
      <c r="AR1108" s="104"/>
      <c r="AS1108" s="43"/>
      <c r="AT1108" s="104"/>
      <c r="AV1108" s="104"/>
      <c r="AW1108" s="102"/>
    </row>
    <row r="1109" spans="14:49">
      <c r="N1109" s="101"/>
      <c r="Y1109" s="78"/>
      <c r="AN1109" s="102"/>
      <c r="AO1109" s="103"/>
      <c r="AP1109" s="104"/>
      <c r="AR1109" s="104"/>
      <c r="AS1109" s="43"/>
      <c r="AT1109" s="104"/>
      <c r="AV1109" s="104"/>
      <c r="AW1109" s="102"/>
    </row>
    <row r="1110" spans="14:49">
      <c r="N1110" s="101"/>
      <c r="AN1110" s="102"/>
      <c r="AO1110" s="103"/>
      <c r="AP1110" s="104"/>
      <c r="AR1110" s="104"/>
      <c r="AS1110" s="43"/>
      <c r="AT1110" s="104"/>
      <c r="AV1110" s="104"/>
      <c r="AW1110" s="102"/>
    </row>
    <row r="1111" spans="14:49">
      <c r="N1111" s="101"/>
      <c r="AN1111" s="102"/>
      <c r="AO1111" s="103"/>
      <c r="AP1111" s="104"/>
      <c r="AR1111" s="104"/>
      <c r="AS1111" s="43"/>
      <c r="AT1111" s="104"/>
      <c r="AV1111" s="104"/>
      <c r="AW1111" s="102"/>
    </row>
    <row r="1112" spans="14:49">
      <c r="N1112" s="101"/>
      <c r="AN1112" s="102"/>
      <c r="AO1112" s="103"/>
      <c r="AP1112" s="104"/>
      <c r="AR1112" s="104"/>
      <c r="AS1112" s="43"/>
      <c r="AT1112" s="104"/>
      <c r="AV1112" s="104"/>
      <c r="AW1112" s="102"/>
    </row>
    <row r="1113" spans="14:49">
      <c r="N1113" s="101"/>
      <c r="AN1113" s="102"/>
      <c r="AO1113" s="103"/>
      <c r="AP1113" s="104"/>
      <c r="AR1113" s="104"/>
      <c r="AS1113" s="43"/>
      <c r="AT1113" s="104"/>
      <c r="AV1113" s="104"/>
      <c r="AW1113" s="102"/>
    </row>
    <row r="1114" spans="14:49">
      <c r="N1114" s="101"/>
      <c r="AN1114" s="102"/>
      <c r="AO1114" s="103"/>
      <c r="AP1114" s="104"/>
      <c r="AR1114" s="104"/>
      <c r="AS1114" s="43"/>
      <c r="AT1114" s="104"/>
      <c r="AV1114" s="104"/>
      <c r="AW1114" s="102"/>
    </row>
    <row r="1115" spans="14:49">
      <c r="N1115" s="101"/>
      <c r="AN1115" s="102"/>
      <c r="AO1115" s="103"/>
      <c r="AP1115" s="104"/>
      <c r="AR1115" s="104"/>
      <c r="AS1115" s="43"/>
      <c r="AT1115" s="104"/>
      <c r="AV1115" s="104"/>
      <c r="AW1115" s="102"/>
    </row>
    <row r="1116" spans="14:49">
      <c r="N1116" s="101"/>
      <c r="AN1116" s="102"/>
      <c r="AO1116" s="103"/>
      <c r="AP1116" s="104"/>
      <c r="AR1116" s="104"/>
      <c r="AS1116" s="43"/>
      <c r="AT1116" s="104"/>
      <c r="AV1116" s="104"/>
      <c r="AW1116" s="102"/>
    </row>
    <row r="1117" spans="14:49">
      <c r="N1117" s="101"/>
      <c r="AN1117" s="102"/>
      <c r="AO1117" s="103"/>
      <c r="AP1117" s="104"/>
      <c r="AR1117" s="104"/>
      <c r="AS1117" s="43"/>
      <c r="AT1117" s="104"/>
      <c r="AV1117" s="104"/>
      <c r="AW1117" s="102"/>
    </row>
    <row r="1118" spans="14:49">
      <c r="N1118" s="101"/>
      <c r="AN1118" s="102"/>
      <c r="AO1118" s="103"/>
      <c r="AP1118" s="104"/>
      <c r="AR1118" s="104"/>
      <c r="AS1118" s="43"/>
      <c r="AT1118" s="104"/>
      <c r="AV1118" s="104"/>
      <c r="AW1118" s="102"/>
    </row>
    <row r="1119" spans="14:49">
      <c r="N1119" s="101"/>
      <c r="AN1119" s="102"/>
      <c r="AO1119" s="103"/>
      <c r="AP1119" s="104"/>
      <c r="AR1119" s="104"/>
      <c r="AS1119" s="43"/>
      <c r="AT1119" s="104"/>
      <c r="AV1119" s="104"/>
      <c r="AW1119" s="102"/>
    </row>
    <row r="1120" spans="14:49">
      <c r="N1120" s="101"/>
      <c r="AN1120" s="102"/>
      <c r="AO1120" s="103"/>
      <c r="AP1120" s="104"/>
      <c r="AR1120" s="104"/>
      <c r="AS1120" s="43"/>
      <c r="AT1120" s="104"/>
      <c r="AV1120" s="104"/>
      <c r="AW1120" s="102"/>
    </row>
    <row r="1121" spans="14:49">
      <c r="N1121" s="101"/>
      <c r="AN1121" s="102"/>
      <c r="AO1121" s="103"/>
      <c r="AP1121" s="104"/>
      <c r="AR1121" s="104"/>
      <c r="AS1121" s="43"/>
      <c r="AT1121" s="104"/>
      <c r="AV1121" s="104"/>
      <c r="AW1121" s="102"/>
    </row>
    <row r="1122" spans="14:49">
      <c r="N1122" s="101"/>
      <c r="AN1122" s="102"/>
      <c r="AO1122" s="103"/>
      <c r="AP1122" s="104"/>
      <c r="AR1122" s="104"/>
      <c r="AS1122" s="43"/>
      <c r="AT1122" s="104"/>
      <c r="AV1122" s="104"/>
      <c r="AW1122" s="102"/>
    </row>
    <row r="1123" spans="14:49">
      <c r="N1123" s="101"/>
      <c r="AN1123" s="102"/>
      <c r="AO1123" s="103"/>
      <c r="AP1123" s="104"/>
      <c r="AR1123" s="104"/>
      <c r="AS1123" s="43"/>
      <c r="AT1123" s="104"/>
      <c r="AV1123" s="104"/>
      <c r="AW1123" s="102"/>
    </row>
    <row r="1124" spans="14:49">
      <c r="N1124" s="101"/>
      <c r="AN1124" s="102"/>
      <c r="AO1124" s="103"/>
      <c r="AP1124" s="104"/>
      <c r="AR1124" s="104"/>
      <c r="AS1124" s="43"/>
      <c r="AT1124" s="104"/>
      <c r="AV1124" s="104"/>
      <c r="AW1124" s="102"/>
    </row>
    <row r="1125" spans="14:49">
      <c r="N1125" s="101"/>
      <c r="AN1125" s="102"/>
      <c r="AO1125" s="103"/>
      <c r="AP1125" s="104"/>
      <c r="AR1125" s="104"/>
      <c r="AS1125" s="43"/>
      <c r="AT1125" s="104"/>
      <c r="AV1125" s="104"/>
      <c r="AW1125" s="102"/>
    </row>
    <row r="1126" spans="14:49">
      <c r="N1126" s="101"/>
      <c r="AN1126" s="102"/>
      <c r="AO1126" s="103"/>
      <c r="AP1126" s="104"/>
      <c r="AR1126" s="104"/>
      <c r="AS1126" s="43"/>
      <c r="AT1126" s="104"/>
      <c r="AV1126" s="104"/>
      <c r="AW1126" s="102"/>
    </row>
    <row r="1127" spans="14:49">
      <c r="N1127" s="101"/>
      <c r="AN1127" s="102"/>
      <c r="AO1127" s="103"/>
      <c r="AP1127" s="104"/>
      <c r="AR1127" s="104"/>
      <c r="AS1127" s="43"/>
      <c r="AT1127" s="104"/>
      <c r="AV1127" s="104"/>
      <c r="AW1127" s="102"/>
    </row>
    <row r="1128" spans="14:49">
      <c r="N1128" s="101"/>
      <c r="AN1128" s="102"/>
      <c r="AO1128" s="103"/>
      <c r="AP1128" s="104"/>
      <c r="AR1128" s="104"/>
      <c r="AS1128" s="43"/>
      <c r="AT1128" s="104"/>
      <c r="AV1128" s="104"/>
      <c r="AW1128" s="102"/>
    </row>
    <row r="1129" spans="14:49">
      <c r="N1129" s="101"/>
      <c r="AN1129" s="102"/>
      <c r="AO1129" s="103"/>
      <c r="AP1129" s="104"/>
      <c r="AR1129" s="104"/>
      <c r="AS1129" s="43"/>
      <c r="AT1129" s="104"/>
      <c r="AV1129" s="104"/>
      <c r="AW1129" s="102"/>
    </row>
    <row r="1130" spans="14:49">
      <c r="N1130" s="101"/>
      <c r="AN1130" s="102"/>
      <c r="AO1130" s="103"/>
      <c r="AP1130" s="104"/>
      <c r="AR1130" s="104"/>
      <c r="AS1130" s="43"/>
      <c r="AT1130" s="104"/>
      <c r="AV1130" s="104"/>
      <c r="AW1130" s="102"/>
    </row>
    <row r="1131" spans="14:49">
      <c r="N1131" s="101"/>
      <c r="AN1131" s="102"/>
      <c r="AO1131" s="103"/>
      <c r="AP1131" s="104"/>
      <c r="AR1131" s="104"/>
      <c r="AS1131" s="43"/>
      <c r="AT1131" s="104"/>
      <c r="AV1131" s="104"/>
      <c r="AW1131" s="102"/>
    </row>
    <row r="1132" spans="14:49">
      <c r="N1132" s="101"/>
      <c r="AN1132" s="102"/>
      <c r="AO1132" s="103"/>
      <c r="AP1132" s="104"/>
      <c r="AR1132" s="104"/>
      <c r="AS1132" s="43"/>
      <c r="AT1132" s="104"/>
      <c r="AV1132" s="104"/>
      <c r="AW1132" s="102"/>
    </row>
    <row r="1133" spans="14:49">
      <c r="N1133" s="101"/>
      <c r="AN1133" s="102"/>
      <c r="AO1133" s="103"/>
      <c r="AP1133" s="104"/>
      <c r="AR1133" s="104"/>
      <c r="AS1133" s="43"/>
      <c r="AT1133" s="104"/>
      <c r="AV1133" s="104"/>
      <c r="AW1133" s="102"/>
    </row>
    <row r="1134" spans="14:49">
      <c r="N1134" s="101"/>
      <c r="AN1134" s="102"/>
      <c r="AO1134" s="103"/>
      <c r="AP1134" s="104"/>
      <c r="AR1134" s="104"/>
      <c r="AS1134" s="43"/>
      <c r="AT1134" s="104"/>
      <c r="AV1134" s="104"/>
      <c r="AW1134" s="102"/>
    </row>
    <row r="1135" spans="14:49">
      <c r="N1135" s="101"/>
      <c r="AN1135" s="102"/>
      <c r="AO1135" s="103"/>
      <c r="AP1135" s="104"/>
      <c r="AR1135" s="104"/>
      <c r="AS1135" s="43"/>
      <c r="AT1135" s="104"/>
      <c r="AV1135" s="104"/>
      <c r="AW1135" s="102"/>
    </row>
    <row r="1136" spans="14:49">
      <c r="N1136" s="101"/>
      <c r="AN1136" s="102"/>
      <c r="AO1136" s="103"/>
      <c r="AP1136" s="104"/>
      <c r="AR1136" s="104"/>
      <c r="AS1136" s="43"/>
      <c r="AT1136" s="104"/>
      <c r="AV1136" s="104"/>
      <c r="AW1136" s="102"/>
    </row>
    <row r="1137" spans="14:49">
      <c r="N1137" s="101"/>
      <c r="AN1137" s="102"/>
      <c r="AO1137" s="103"/>
      <c r="AP1137" s="104"/>
      <c r="AR1137" s="104"/>
      <c r="AS1137" s="43"/>
      <c r="AT1137" s="104"/>
      <c r="AV1137" s="104"/>
      <c r="AW1137" s="102"/>
    </row>
    <row r="1138" spans="14:49">
      <c r="N1138" s="101"/>
      <c r="AN1138" s="102"/>
      <c r="AO1138" s="103"/>
      <c r="AP1138" s="104"/>
      <c r="AR1138" s="104"/>
      <c r="AS1138" s="43"/>
      <c r="AT1138" s="104"/>
      <c r="AV1138" s="104"/>
      <c r="AW1138" s="102"/>
    </row>
    <row r="1139" spans="14:49">
      <c r="N1139" s="101"/>
      <c r="AN1139" s="102"/>
      <c r="AO1139" s="103"/>
      <c r="AP1139" s="104"/>
      <c r="AR1139" s="104"/>
      <c r="AS1139" s="43"/>
      <c r="AT1139" s="104"/>
      <c r="AV1139" s="104"/>
      <c r="AW1139" s="102"/>
    </row>
    <row r="1140" spans="14:49">
      <c r="N1140" s="101"/>
      <c r="AN1140" s="102"/>
      <c r="AO1140" s="103"/>
      <c r="AP1140" s="104"/>
      <c r="AR1140" s="104"/>
      <c r="AS1140" s="43"/>
      <c r="AT1140" s="104"/>
      <c r="AV1140" s="104"/>
      <c r="AW1140" s="102"/>
    </row>
    <row r="1141" spans="14:49">
      <c r="N1141" s="101"/>
      <c r="AN1141" s="102"/>
      <c r="AO1141" s="103"/>
      <c r="AP1141" s="104"/>
      <c r="AR1141" s="104"/>
      <c r="AS1141" s="43"/>
      <c r="AT1141" s="104"/>
      <c r="AV1141" s="104"/>
      <c r="AW1141" s="102"/>
    </row>
    <row r="1142" spans="14:49">
      <c r="N1142" s="101"/>
      <c r="AN1142" s="102"/>
      <c r="AO1142" s="103"/>
      <c r="AP1142" s="104"/>
      <c r="AR1142" s="104"/>
      <c r="AS1142" s="43"/>
      <c r="AT1142" s="104"/>
      <c r="AV1142" s="104"/>
      <c r="AW1142" s="102"/>
    </row>
    <row r="1143" spans="14:49">
      <c r="N1143" s="101"/>
      <c r="AN1143" s="102"/>
      <c r="AO1143" s="103"/>
      <c r="AP1143" s="104"/>
      <c r="AR1143" s="104"/>
      <c r="AS1143" s="43"/>
      <c r="AT1143" s="104"/>
      <c r="AV1143" s="104"/>
      <c r="AW1143" s="102"/>
    </row>
    <row r="1144" spans="14:49">
      <c r="N1144" s="101"/>
      <c r="AN1144" s="102"/>
      <c r="AO1144" s="103"/>
      <c r="AP1144" s="104"/>
      <c r="AR1144" s="104"/>
      <c r="AS1144" s="43"/>
      <c r="AT1144" s="104"/>
      <c r="AV1144" s="104"/>
      <c r="AW1144" s="102"/>
    </row>
    <row r="1145" spans="14:49">
      <c r="N1145" s="101"/>
      <c r="AN1145" s="102"/>
      <c r="AO1145" s="103"/>
      <c r="AP1145" s="104"/>
      <c r="AR1145" s="104"/>
      <c r="AS1145" s="43"/>
      <c r="AT1145" s="104"/>
      <c r="AV1145" s="104"/>
      <c r="AW1145" s="102"/>
    </row>
    <row r="1146" spans="14:49">
      <c r="N1146" s="101"/>
      <c r="AN1146" s="102"/>
      <c r="AO1146" s="103"/>
      <c r="AP1146" s="104"/>
      <c r="AR1146" s="104"/>
      <c r="AS1146" s="43"/>
      <c r="AT1146" s="104"/>
      <c r="AV1146" s="104"/>
      <c r="AW1146" s="102"/>
    </row>
    <row r="1147" spans="14:49">
      <c r="N1147" s="101"/>
      <c r="AN1147" s="102"/>
      <c r="AO1147" s="103"/>
      <c r="AP1147" s="104"/>
      <c r="AR1147" s="104"/>
      <c r="AS1147" s="43"/>
      <c r="AT1147" s="104"/>
      <c r="AV1147" s="104"/>
      <c r="AW1147" s="102"/>
    </row>
    <row r="1148" spans="14:49">
      <c r="N1148" s="101"/>
      <c r="AN1148" s="102"/>
      <c r="AO1148" s="103"/>
      <c r="AP1148" s="104"/>
      <c r="AR1148" s="104"/>
      <c r="AS1148" s="43"/>
      <c r="AT1148" s="104"/>
      <c r="AV1148" s="104"/>
      <c r="AW1148" s="102"/>
    </row>
    <row r="1149" spans="14:49">
      <c r="N1149" s="101"/>
      <c r="AN1149" s="102"/>
      <c r="AO1149" s="103"/>
      <c r="AP1149" s="104"/>
      <c r="AR1149" s="104"/>
      <c r="AS1149" s="43"/>
      <c r="AT1149" s="104"/>
      <c r="AV1149" s="104"/>
      <c r="AW1149" s="102"/>
    </row>
    <row r="1150" spans="14:49">
      <c r="N1150" s="101"/>
      <c r="Y1150" s="78"/>
      <c r="AN1150" s="102"/>
      <c r="AO1150" s="103"/>
      <c r="AP1150" s="104"/>
      <c r="AR1150" s="104"/>
      <c r="AS1150" s="43"/>
      <c r="AT1150" s="104"/>
      <c r="AV1150" s="104"/>
      <c r="AW1150" s="102"/>
    </row>
    <row r="1151" spans="14:49">
      <c r="N1151" s="101"/>
      <c r="AN1151" s="102"/>
      <c r="AO1151" s="103"/>
      <c r="AP1151" s="104"/>
      <c r="AR1151" s="104"/>
      <c r="AS1151" s="43"/>
      <c r="AT1151" s="104"/>
      <c r="AV1151" s="104"/>
      <c r="AW1151" s="102"/>
    </row>
    <row r="1152" spans="14:49">
      <c r="N1152" s="101"/>
      <c r="AN1152" s="102"/>
      <c r="AO1152" s="103"/>
      <c r="AP1152" s="104"/>
      <c r="AR1152" s="104"/>
      <c r="AS1152" s="43"/>
      <c r="AT1152" s="104"/>
      <c r="AV1152" s="104"/>
      <c r="AW1152" s="102"/>
    </row>
    <row r="1153" spans="14:49">
      <c r="N1153" s="101"/>
      <c r="AN1153" s="102"/>
      <c r="AO1153" s="103"/>
      <c r="AP1153" s="104"/>
      <c r="AR1153" s="104"/>
      <c r="AS1153" s="43"/>
      <c r="AT1153" s="104"/>
      <c r="AV1153" s="104"/>
      <c r="AW1153" s="102"/>
    </row>
    <row r="1154" spans="14:49">
      <c r="N1154" s="101"/>
      <c r="AN1154" s="102"/>
      <c r="AO1154" s="103"/>
      <c r="AP1154" s="104"/>
      <c r="AR1154" s="104"/>
      <c r="AS1154" s="43"/>
      <c r="AT1154" s="104"/>
      <c r="AV1154" s="104"/>
      <c r="AW1154" s="102"/>
    </row>
    <row r="1155" spans="14:49">
      <c r="N1155" s="101"/>
      <c r="AN1155" s="102"/>
      <c r="AO1155" s="103"/>
      <c r="AP1155" s="104"/>
      <c r="AR1155" s="104"/>
      <c r="AS1155" s="43"/>
      <c r="AT1155" s="104"/>
      <c r="AV1155" s="104"/>
      <c r="AW1155" s="102"/>
    </row>
    <row r="1156" spans="14:49">
      <c r="N1156" s="101"/>
      <c r="AN1156" s="102"/>
      <c r="AO1156" s="103"/>
      <c r="AP1156" s="104"/>
      <c r="AR1156" s="104"/>
      <c r="AS1156" s="43"/>
      <c r="AT1156" s="104"/>
      <c r="AV1156" s="104"/>
      <c r="AW1156" s="102"/>
    </row>
    <row r="1157" spans="14:49">
      <c r="N1157" s="101"/>
      <c r="AN1157" s="102"/>
      <c r="AO1157" s="103"/>
      <c r="AP1157" s="104"/>
      <c r="AR1157" s="104"/>
      <c r="AS1157" s="43"/>
      <c r="AT1157" s="104"/>
      <c r="AV1157" s="104"/>
      <c r="AW1157" s="102"/>
    </row>
    <row r="1158" spans="14:49">
      <c r="N1158" s="101"/>
      <c r="AN1158" s="102"/>
      <c r="AO1158" s="103"/>
      <c r="AP1158" s="104"/>
      <c r="AR1158" s="104"/>
      <c r="AS1158" s="43"/>
      <c r="AT1158" s="104"/>
      <c r="AV1158" s="104"/>
      <c r="AW1158" s="102"/>
    </row>
    <row r="1159" spans="14:49">
      <c r="N1159" s="101"/>
      <c r="AN1159" s="102"/>
      <c r="AO1159" s="103"/>
      <c r="AP1159" s="104"/>
      <c r="AR1159" s="104"/>
      <c r="AS1159" s="43"/>
      <c r="AT1159" s="104"/>
      <c r="AV1159" s="104"/>
      <c r="AW1159" s="102"/>
    </row>
    <row r="1160" spans="14:49">
      <c r="N1160" s="101"/>
      <c r="AN1160" s="102"/>
      <c r="AO1160" s="103"/>
      <c r="AP1160" s="104"/>
      <c r="AR1160" s="104"/>
      <c r="AS1160" s="43"/>
      <c r="AT1160" s="104"/>
      <c r="AV1160" s="104"/>
      <c r="AW1160" s="102"/>
    </row>
    <row r="1161" spans="14:49">
      <c r="N1161" s="101"/>
      <c r="AN1161" s="102"/>
      <c r="AO1161" s="103"/>
      <c r="AP1161" s="104"/>
      <c r="AR1161" s="104"/>
      <c r="AS1161" s="43"/>
      <c r="AT1161" s="104"/>
      <c r="AV1161" s="104"/>
      <c r="AW1161" s="102"/>
    </row>
    <row r="1162" spans="14:49">
      <c r="N1162" s="101"/>
      <c r="AN1162" s="102"/>
      <c r="AO1162" s="103"/>
      <c r="AP1162" s="104"/>
      <c r="AR1162" s="104"/>
      <c r="AS1162" s="43"/>
      <c r="AT1162" s="104"/>
      <c r="AV1162" s="104"/>
      <c r="AW1162" s="102"/>
    </row>
    <row r="1163" spans="14:49">
      <c r="N1163" s="101"/>
      <c r="AN1163" s="102"/>
      <c r="AO1163" s="103"/>
      <c r="AP1163" s="104"/>
      <c r="AR1163" s="104"/>
      <c r="AS1163" s="43"/>
      <c r="AT1163" s="104"/>
      <c r="AV1163" s="104"/>
      <c r="AW1163" s="102"/>
    </row>
    <row r="1164" spans="14:49">
      <c r="N1164" s="101"/>
      <c r="AN1164" s="102"/>
      <c r="AO1164" s="103"/>
      <c r="AP1164" s="104"/>
      <c r="AR1164" s="104"/>
      <c r="AS1164" s="43"/>
      <c r="AT1164" s="104"/>
      <c r="AV1164" s="104"/>
      <c r="AW1164" s="102"/>
    </row>
    <row r="1165" spans="14:49">
      <c r="N1165" s="101"/>
      <c r="AN1165" s="102"/>
      <c r="AO1165" s="103"/>
      <c r="AP1165" s="104"/>
      <c r="AR1165" s="104"/>
      <c r="AS1165" s="43"/>
      <c r="AT1165" s="104"/>
      <c r="AV1165" s="104"/>
      <c r="AW1165" s="102"/>
    </row>
    <row r="1166" spans="14:49">
      <c r="N1166" s="101"/>
      <c r="AN1166" s="102"/>
      <c r="AO1166" s="103"/>
      <c r="AP1166" s="104"/>
      <c r="AR1166" s="104"/>
      <c r="AS1166" s="43"/>
      <c r="AT1166" s="104"/>
      <c r="AV1166" s="104"/>
      <c r="AW1166" s="102"/>
    </row>
    <row r="1167" spans="14:49">
      <c r="N1167" s="101"/>
      <c r="AN1167" s="102"/>
      <c r="AO1167" s="103"/>
      <c r="AP1167" s="104"/>
      <c r="AR1167" s="104"/>
      <c r="AS1167" s="43"/>
      <c r="AT1167" s="104"/>
      <c r="AV1167" s="104"/>
      <c r="AW1167" s="102"/>
    </row>
    <row r="1168" spans="14:49">
      <c r="N1168" s="101"/>
      <c r="AN1168" s="102"/>
      <c r="AO1168" s="103"/>
      <c r="AP1168" s="104"/>
      <c r="AR1168" s="104"/>
      <c r="AS1168" s="43"/>
      <c r="AT1168" s="104"/>
      <c r="AV1168" s="104"/>
      <c r="AW1168" s="102"/>
    </row>
    <row r="1169" spans="14:49">
      <c r="N1169" s="101"/>
      <c r="AN1169" s="102"/>
      <c r="AO1169" s="103"/>
      <c r="AP1169" s="104"/>
      <c r="AR1169" s="104"/>
      <c r="AS1169" s="43"/>
      <c r="AT1169" s="104"/>
      <c r="AV1169" s="104"/>
      <c r="AW1169" s="102"/>
    </row>
    <row r="1170" spans="14:49">
      <c r="N1170" s="101"/>
      <c r="AN1170" s="102"/>
      <c r="AO1170" s="103"/>
      <c r="AP1170" s="104"/>
      <c r="AR1170" s="104"/>
      <c r="AS1170" s="43"/>
      <c r="AT1170" s="104"/>
      <c r="AV1170" s="104"/>
      <c r="AW1170" s="102"/>
    </row>
    <row r="1171" spans="14:49">
      <c r="N1171" s="101"/>
      <c r="AN1171" s="102"/>
      <c r="AO1171" s="103"/>
      <c r="AP1171" s="104"/>
      <c r="AR1171" s="104"/>
      <c r="AS1171" s="43"/>
      <c r="AT1171" s="104"/>
      <c r="AV1171" s="104"/>
      <c r="AW1171" s="102"/>
    </row>
    <row r="1172" spans="14:49">
      <c r="N1172" s="101"/>
      <c r="AN1172" s="102"/>
      <c r="AO1172" s="103"/>
      <c r="AP1172" s="104"/>
      <c r="AR1172" s="104"/>
      <c r="AS1172" s="43"/>
      <c r="AT1172" s="104"/>
      <c r="AV1172" s="104"/>
      <c r="AW1172" s="102"/>
    </row>
    <row r="1173" spans="14:49">
      <c r="N1173" s="101"/>
      <c r="AN1173" s="102"/>
      <c r="AO1173" s="103"/>
      <c r="AP1173" s="104"/>
      <c r="AR1173" s="104"/>
      <c r="AS1173" s="43"/>
      <c r="AT1173" s="104"/>
      <c r="AV1173" s="104"/>
      <c r="AW1173" s="102"/>
    </row>
    <row r="1174" spans="14:49">
      <c r="N1174" s="101"/>
      <c r="AN1174" s="102"/>
      <c r="AO1174" s="103"/>
      <c r="AP1174" s="104"/>
      <c r="AR1174" s="104"/>
      <c r="AS1174" s="43"/>
      <c r="AT1174" s="104"/>
      <c r="AV1174" s="104"/>
      <c r="AW1174" s="102"/>
    </row>
    <row r="1175" spans="14:49">
      <c r="N1175" s="101"/>
      <c r="AN1175" s="102"/>
      <c r="AO1175" s="103"/>
      <c r="AP1175" s="104"/>
      <c r="AR1175" s="104"/>
      <c r="AS1175" s="43"/>
      <c r="AT1175" s="104"/>
      <c r="AV1175" s="104"/>
      <c r="AW1175" s="102"/>
    </row>
    <row r="1176" spans="14:49">
      <c r="N1176" s="101"/>
      <c r="AN1176" s="102"/>
      <c r="AO1176" s="103"/>
      <c r="AP1176" s="104"/>
      <c r="AR1176" s="104"/>
      <c r="AS1176" s="43"/>
      <c r="AT1176" s="104"/>
      <c r="AV1176" s="104"/>
      <c r="AW1176" s="102"/>
    </row>
    <row r="1177" spans="14:49">
      <c r="N1177" s="101"/>
      <c r="AN1177" s="102"/>
      <c r="AO1177" s="103"/>
      <c r="AP1177" s="104"/>
      <c r="AR1177" s="104"/>
      <c r="AS1177" s="43"/>
      <c r="AT1177" s="104"/>
      <c r="AV1177" s="104"/>
      <c r="AW1177" s="102"/>
    </row>
    <row r="1178" spans="14:49">
      <c r="N1178" s="101"/>
      <c r="AN1178" s="102"/>
      <c r="AO1178" s="103"/>
      <c r="AP1178" s="104"/>
      <c r="AR1178" s="104"/>
      <c r="AS1178" s="43"/>
      <c r="AT1178" s="104"/>
      <c r="AV1178" s="104"/>
      <c r="AW1178" s="102"/>
    </row>
    <row r="1179" spans="14:49">
      <c r="N1179" s="101"/>
      <c r="AN1179" s="102"/>
      <c r="AO1179" s="103"/>
      <c r="AP1179" s="104"/>
      <c r="AR1179" s="104"/>
      <c r="AS1179" s="43"/>
      <c r="AT1179" s="104"/>
      <c r="AV1179" s="104"/>
      <c r="AW1179" s="102"/>
    </row>
    <row r="1180" spans="14:49">
      <c r="N1180" s="101"/>
      <c r="AN1180" s="102"/>
      <c r="AO1180" s="103"/>
      <c r="AP1180" s="104"/>
      <c r="AR1180" s="104"/>
      <c r="AS1180" s="43"/>
      <c r="AT1180" s="104"/>
      <c r="AV1180" s="104"/>
      <c r="AW1180" s="102"/>
    </row>
    <row r="1181" spans="14:49">
      <c r="N1181" s="101"/>
      <c r="AN1181" s="102"/>
      <c r="AO1181" s="103"/>
      <c r="AP1181" s="104"/>
      <c r="AR1181" s="104"/>
      <c r="AS1181" s="43"/>
      <c r="AT1181" s="104"/>
      <c r="AV1181" s="104"/>
      <c r="AW1181" s="102"/>
    </row>
    <row r="1182" spans="14:49">
      <c r="N1182" s="101"/>
      <c r="AN1182" s="102"/>
      <c r="AO1182" s="103"/>
      <c r="AP1182" s="104"/>
      <c r="AR1182" s="104"/>
      <c r="AS1182" s="43"/>
      <c r="AT1182" s="104"/>
      <c r="AV1182" s="104"/>
      <c r="AW1182" s="102"/>
    </row>
    <row r="1183" spans="14:49">
      <c r="N1183" s="101"/>
      <c r="AN1183" s="102"/>
      <c r="AO1183" s="103"/>
      <c r="AP1183" s="104"/>
      <c r="AR1183" s="104"/>
      <c r="AS1183" s="43"/>
      <c r="AT1183" s="104"/>
      <c r="AV1183" s="104"/>
      <c r="AW1183" s="102"/>
    </row>
    <row r="1184" spans="14:49">
      <c r="N1184" s="101"/>
      <c r="AN1184" s="102"/>
      <c r="AO1184" s="103"/>
      <c r="AP1184" s="104"/>
      <c r="AR1184" s="104"/>
      <c r="AS1184" s="43"/>
      <c r="AT1184" s="104"/>
      <c r="AV1184" s="104"/>
      <c r="AW1184" s="102"/>
    </row>
    <row r="1185" spans="14:49">
      <c r="N1185" s="101"/>
      <c r="AN1185" s="102"/>
      <c r="AO1185" s="103"/>
      <c r="AP1185" s="104"/>
      <c r="AR1185" s="104"/>
      <c r="AS1185" s="43"/>
      <c r="AT1185" s="104"/>
      <c r="AV1185" s="104"/>
      <c r="AW1185" s="102"/>
    </row>
    <row r="1186" spans="14:49">
      <c r="N1186" s="101"/>
      <c r="AN1186" s="102"/>
      <c r="AO1186" s="103"/>
      <c r="AP1186" s="104"/>
      <c r="AR1186" s="104"/>
      <c r="AS1186" s="43"/>
      <c r="AT1186" s="104"/>
      <c r="AV1186" s="104"/>
      <c r="AW1186" s="102"/>
    </row>
    <row r="1187" spans="14:49">
      <c r="N1187" s="101"/>
      <c r="AN1187" s="102"/>
      <c r="AO1187" s="103"/>
      <c r="AP1187" s="104"/>
      <c r="AR1187" s="104"/>
      <c r="AS1187" s="43"/>
      <c r="AT1187" s="104"/>
      <c r="AV1187" s="104"/>
      <c r="AW1187" s="102"/>
    </row>
    <row r="1188" spans="14:49">
      <c r="N1188" s="101"/>
      <c r="AN1188" s="102"/>
      <c r="AO1188" s="103"/>
      <c r="AP1188" s="104"/>
      <c r="AR1188" s="104"/>
      <c r="AS1188" s="43"/>
      <c r="AT1188" s="104"/>
      <c r="AV1188" s="104"/>
      <c r="AW1188" s="102"/>
    </row>
    <row r="1189" spans="14:49">
      <c r="N1189" s="101"/>
      <c r="AN1189" s="102"/>
      <c r="AO1189" s="103"/>
      <c r="AP1189" s="104"/>
      <c r="AR1189" s="104"/>
      <c r="AS1189" s="43"/>
      <c r="AT1189" s="104"/>
      <c r="AV1189" s="104"/>
      <c r="AW1189" s="102"/>
    </row>
    <row r="1190" spans="14:49">
      <c r="N1190" s="101"/>
      <c r="AN1190" s="102"/>
      <c r="AO1190" s="103"/>
      <c r="AP1190" s="104"/>
      <c r="AR1190" s="104"/>
      <c r="AS1190" s="43"/>
      <c r="AT1190" s="104"/>
      <c r="AV1190" s="104"/>
      <c r="AW1190" s="102"/>
    </row>
    <row r="1191" spans="14:49">
      <c r="N1191" s="101"/>
      <c r="Y1191" s="78"/>
      <c r="AN1191" s="102"/>
      <c r="AO1191" s="103"/>
      <c r="AP1191" s="104"/>
      <c r="AR1191" s="104"/>
      <c r="AS1191" s="43"/>
      <c r="AT1191" s="104"/>
      <c r="AV1191" s="104"/>
      <c r="AW1191" s="102"/>
    </row>
    <row r="1192" spans="14:49">
      <c r="N1192" s="101"/>
      <c r="AN1192" s="102"/>
      <c r="AO1192" s="103"/>
      <c r="AP1192" s="104"/>
      <c r="AR1192" s="104"/>
      <c r="AS1192" s="43"/>
      <c r="AT1192" s="104"/>
      <c r="AV1192" s="104"/>
      <c r="AW1192" s="102"/>
    </row>
    <row r="1193" spans="14:49">
      <c r="N1193" s="101"/>
      <c r="AN1193" s="102"/>
      <c r="AO1193" s="103"/>
      <c r="AP1193" s="104"/>
      <c r="AR1193" s="104"/>
      <c r="AS1193" s="43"/>
      <c r="AT1193" s="104"/>
      <c r="AV1193" s="104"/>
      <c r="AW1193" s="102"/>
    </row>
    <row r="1194" spans="14:49">
      <c r="N1194" s="101"/>
      <c r="AN1194" s="102"/>
      <c r="AO1194" s="103"/>
      <c r="AP1194" s="104"/>
      <c r="AR1194" s="104"/>
      <c r="AS1194" s="43"/>
      <c r="AT1194" s="104"/>
      <c r="AV1194" s="104"/>
      <c r="AW1194" s="102"/>
    </row>
    <row r="1195" spans="14:49">
      <c r="N1195" s="101"/>
      <c r="AN1195" s="102"/>
      <c r="AO1195" s="103"/>
      <c r="AP1195" s="104"/>
      <c r="AR1195" s="104"/>
      <c r="AS1195" s="43"/>
      <c r="AT1195" s="104"/>
      <c r="AV1195" s="104"/>
      <c r="AW1195" s="102"/>
    </row>
    <row r="1196" spans="14:49">
      <c r="N1196" s="101"/>
      <c r="AN1196" s="102"/>
      <c r="AO1196" s="103"/>
      <c r="AP1196" s="104"/>
      <c r="AR1196" s="104"/>
      <c r="AS1196" s="43"/>
      <c r="AT1196" s="104"/>
      <c r="AV1196" s="104"/>
      <c r="AW1196" s="102"/>
    </row>
    <row r="1197" spans="14:49">
      <c r="N1197" s="101"/>
      <c r="AN1197" s="102"/>
      <c r="AO1197" s="103"/>
      <c r="AP1197" s="104"/>
      <c r="AR1197" s="104"/>
      <c r="AS1197" s="43"/>
      <c r="AT1197" s="104"/>
      <c r="AV1197" s="104"/>
      <c r="AW1197" s="102"/>
    </row>
    <row r="1198" spans="14:49">
      <c r="N1198" s="101"/>
      <c r="AN1198" s="102"/>
      <c r="AO1198" s="103"/>
      <c r="AP1198" s="104"/>
      <c r="AR1198" s="104"/>
      <c r="AS1198" s="43"/>
      <c r="AT1198" s="104"/>
      <c r="AV1198" s="104"/>
      <c r="AW1198" s="102"/>
    </row>
    <row r="1199" spans="14:49">
      <c r="N1199" s="101"/>
      <c r="AN1199" s="102"/>
      <c r="AO1199" s="103"/>
      <c r="AP1199" s="104"/>
      <c r="AR1199" s="104"/>
      <c r="AS1199" s="43"/>
      <c r="AT1199" s="104"/>
      <c r="AV1199" s="104"/>
      <c r="AW1199" s="102"/>
    </row>
    <row r="1200" spans="14:49">
      <c r="N1200" s="101"/>
      <c r="AN1200" s="102"/>
      <c r="AO1200" s="103"/>
      <c r="AP1200" s="104"/>
      <c r="AR1200" s="104"/>
      <c r="AS1200" s="43"/>
      <c r="AT1200" s="104"/>
      <c r="AV1200" s="104"/>
      <c r="AW1200" s="102"/>
    </row>
    <row r="1201" spans="14:49">
      <c r="N1201" s="101"/>
      <c r="AN1201" s="102"/>
      <c r="AO1201" s="103"/>
      <c r="AP1201" s="104"/>
      <c r="AR1201" s="104"/>
      <c r="AS1201" s="43"/>
      <c r="AT1201" s="104"/>
      <c r="AV1201" s="104"/>
      <c r="AW1201" s="102"/>
    </row>
    <row r="1202" spans="14:49">
      <c r="N1202" s="101"/>
      <c r="AN1202" s="102"/>
      <c r="AO1202" s="103"/>
      <c r="AP1202" s="104"/>
      <c r="AR1202" s="104"/>
      <c r="AS1202" s="43"/>
      <c r="AT1202" s="104"/>
      <c r="AV1202" s="104"/>
      <c r="AW1202" s="102"/>
    </row>
    <row r="1203" spans="14:49">
      <c r="N1203" s="101"/>
      <c r="AN1203" s="102"/>
      <c r="AO1203" s="103"/>
      <c r="AP1203" s="104"/>
      <c r="AR1203" s="104"/>
      <c r="AS1203" s="43"/>
      <c r="AT1203" s="104"/>
      <c r="AV1203" s="104"/>
      <c r="AW1203" s="102"/>
    </row>
    <row r="1204" spans="14:49">
      <c r="N1204" s="101"/>
      <c r="AN1204" s="102"/>
      <c r="AO1204" s="103"/>
      <c r="AP1204" s="104"/>
      <c r="AR1204" s="104"/>
      <c r="AS1204" s="43"/>
      <c r="AT1204" s="104"/>
      <c r="AV1204" s="104"/>
      <c r="AW1204" s="102"/>
    </row>
    <row r="1205" spans="14:49">
      <c r="N1205" s="101"/>
      <c r="AN1205" s="102"/>
      <c r="AO1205" s="103"/>
      <c r="AP1205" s="104"/>
      <c r="AR1205" s="104"/>
      <c r="AS1205" s="43"/>
      <c r="AT1205" s="104"/>
      <c r="AV1205" s="104"/>
      <c r="AW1205" s="102"/>
    </row>
    <row r="1206" spans="14:49">
      <c r="N1206" s="101"/>
      <c r="AN1206" s="102"/>
      <c r="AO1206" s="103"/>
      <c r="AP1206" s="104"/>
      <c r="AR1206" s="104"/>
      <c r="AS1206" s="43"/>
      <c r="AT1206" s="104"/>
      <c r="AV1206" s="104"/>
      <c r="AW1206" s="102"/>
    </row>
    <row r="1207" spans="14:49">
      <c r="N1207" s="101"/>
      <c r="AN1207" s="102"/>
      <c r="AO1207" s="103"/>
      <c r="AP1207" s="104"/>
      <c r="AR1207" s="104"/>
      <c r="AS1207" s="43"/>
      <c r="AT1207" s="104"/>
      <c r="AV1207" s="104"/>
      <c r="AW1207" s="102"/>
    </row>
    <row r="1208" spans="14:49">
      <c r="N1208" s="101"/>
      <c r="AN1208" s="102"/>
      <c r="AO1208" s="103"/>
      <c r="AP1208" s="104"/>
      <c r="AR1208" s="104"/>
      <c r="AS1208" s="43"/>
      <c r="AT1208" s="104"/>
      <c r="AV1208" s="104"/>
      <c r="AW1208" s="102"/>
    </row>
    <row r="1209" spans="14:49">
      <c r="N1209" s="101"/>
      <c r="AN1209" s="102"/>
      <c r="AO1209" s="103"/>
      <c r="AP1209" s="104"/>
      <c r="AR1209" s="104"/>
      <c r="AS1209" s="43"/>
      <c r="AT1209" s="104"/>
      <c r="AV1209" s="104"/>
      <c r="AW1209" s="102"/>
    </row>
    <row r="1210" spans="14:49">
      <c r="N1210" s="101"/>
      <c r="AN1210" s="102"/>
      <c r="AO1210" s="103"/>
      <c r="AP1210" s="104"/>
      <c r="AR1210" s="104"/>
      <c r="AS1210" s="43"/>
      <c r="AT1210" s="104"/>
      <c r="AV1210" s="104"/>
      <c r="AW1210" s="102"/>
    </row>
    <row r="1211" spans="14:49">
      <c r="N1211" s="101"/>
      <c r="AN1211" s="102"/>
      <c r="AO1211" s="103"/>
      <c r="AP1211" s="104"/>
      <c r="AR1211" s="104"/>
      <c r="AS1211" s="43"/>
      <c r="AT1211" s="104"/>
      <c r="AV1211" s="104"/>
      <c r="AW1211" s="102"/>
    </row>
    <row r="1212" spans="14:49">
      <c r="N1212" s="101"/>
      <c r="AN1212" s="102"/>
      <c r="AO1212" s="103"/>
      <c r="AP1212" s="104"/>
      <c r="AR1212" s="104"/>
      <c r="AS1212" s="43"/>
      <c r="AT1212" s="104"/>
      <c r="AV1212" s="104"/>
      <c r="AW1212" s="102"/>
    </row>
    <row r="1213" spans="14:49">
      <c r="N1213" s="101"/>
      <c r="AN1213" s="102"/>
      <c r="AO1213" s="103"/>
      <c r="AP1213" s="104"/>
      <c r="AR1213" s="104"/>
      <c r="AS1213" s="43"/>
      <c r="AT1213" s="104"/>
      <c r="AV1213" s="104"/>
      <c r="AW1213" s="102"/>
    </row>
    <row r="1214" spans="14:49">
      <c r="N1214" s="101"/>
      <c r="AN1214" s="102"/>
      <c r="AO1214" s="103"/>
      <c r="AP1214" s="104"/>
      <c r="AR1214" s="104"/>
      <c r="AS1214" s="43"/>
      <c r="AT1214" s="104"/>
      <c r="AV1214" s="104"/>
      <c r="AW1214" s="102"/>
    </row>
    <row r="1215" spans="14:49">
      <c r="N1215" s="101"/>
      <c r="AN1215" s="102"/>
      <c r="AO1215" s="103"/>
      <c r="AP1215" s="104"/>
      <c r="AR1215" s="104"/>
      <c r="AS1215" s="43"/>
      <c r="AT1215" s="104"/>
      <c r="AV1215" s="104"/>
      <c r="AW1215" s="102"/>
    </row>
    <row r="1216" spans="14:49">
      <c r="N1216" s="101"/>
      <c r="AN1216" s="102"/>
      <c r="AO1216" s="103"/>
      <c r="AP1216" s="104"/>
      <c r="AR1216" s="104"/>
      <c r="AS1216" s="43"/>
      <c r="AT1216" s="104"/>
      <c r="AV1216" s="104"/>
      <c r="AW1216" s="102"/>
    </row>
    <row r="1217" spans="14:49">
      <c r="N1217" s="101"/>
      <c r="AN1217" s="102"/>
      <c r="AO1217" s="103"/>
      <c r="AP1217" s="104"/>
      <c r="AR1217" s="104"/>
      <c r="AS1217" s="43"/>
      <c r="AT1217" s="104"/>
      <c r="AV1217" s="104"/>
      <c r="AW1217" s="102"/>
    </row>
    <row r="1218" spans="14:49">
      <c r="N1218" s="101"/>
      <c r="AN1218" s="102"/>
      <c r="AO1218" s="103"/>
      <c r="AP1218" s="104"/>
      <c r="AR1218" s="104"/>
      <c r="AS1218" s="43"/>
      <c r="AT1218" s="104"/>
      <c r="AV1218" s="104"/>
      <c r="AW1218" s="102"/>
    </row>
    <row r="1219" spans="14:49">
      <c r="N1219" s="101"/>
      <c r="AN1219" s="102"/>
      <c r="AO1219" s="103"/>
      <c r="AP1219" s="104"/>
      <c r="AR1219" s="104"/>
      <c r="AS1219" s="43"/>
      <c r="AT1219" s="104"/>
      <c r="AV1219" s="104"/>
      <c r="AW1219" s="102"/>
    </row>
    <row r="1220" spans="14:49">
      <c r="N1220" s="101"/>
      <c r="AN1220" s="102"/>
      <c r="AO1220" s="103"/>
      <c r="AP1220" s="104"/>
      <c r="AR1220" s="104"/>
      <c r="AS1220" s="43"/>
      <c r="AT1220" s="104"/>
      <c r="AV1220" s="104"/>
      <c r="AW1220" s="102"/>
    </row>
    <row r="1221" spans="14:49">
      <c r="N1221" s="101"/>
      <c r="AN1221" s="102"/>
      <c r="AO1221" s="103"/>
      <c r="AP1221" s="104"/>
      <c r="AR1221" s="104"/>
      <c r="AS1221" s="43"/>
      <c r="AT1221" s="104"/>
      <c r="AV1221" s="104"/>
      <c r="AW1221" s="102"/>
    </row>
    <row r="1222" spans="14:49">
      <c r="N1222" s="101"/>
      <c r="AN1222" s="102"/>
      <c r="AO1222" s="103"/>
      <c r="AP1222" s="104"/>
      <c r="AR1222" s="104"/>
      <c r="AS1222" s="43"/>
      <c r="AT1222" s="104"/>
      <c r="AV1222" s="104"/>
      <c r="AW1222" s="102"/>
    </row>
    <row r="1223" spans="14:49">
      <c r="N1223" s="101"/>
      <c r="AN1223" s="102"/>
      <c r="AO1223" s="103"/>
      <c r="AP1223" s="104"/>
      <c r="AR1223" s="104"/>
      <c r="AS1223" s="43"/>
      <c r="AT1223" s="104"/>
      <c r="AV1223" s="104"/>
      <c r="AW1223" s="102"/>
    </row>
    <row r="1224" spans="14:49">
      <c r="N1224" s="101"/>
      <c r="AN1224" s="102"/>
      <c r="AO1224" s="103"/>
      <c r="AP1224" s="104"/>
      <c r="AR1224" s="104"/>
      <c r="AS1224" s="43"/>
      <c r="AT1224" s="104"/>
      <c r="AV1224" s="104"/>
      <c r="AW1224" s="102"/>
    </row>
    <row r="1225" spans="14:49">
      <c r="N1225" s="101"/>
      <c r="AN1225" s="102"/>
      <c r="AO1225" s="103"/>
      <c r="AP1225" s="104"/>
      <c r="AR1225" s="104"/>
      <c r="AS1225" s="43"/>
      <c r="AT1225" s="104"/>
      <c r="AV1225" s="104"/>
      <c r="AW1225" s="102"/>
    </row>
    <row r="1226" spans="14:49">
      <c r="N1226" s="101"/>
      <c r="AN1226" s="102"/>
      <c r="AO1226" s="103"/>
      <c r="AP1226" s="104"/>
      <c r="AR1226" s="104"/>
      <c r="AS1226" s="43"/>
      <c r="AT1226" s="104"/>
      <c r="AV1226" s="104"/>
      <c r="AW1226" s="102"/>
    </row>
    <row r="1227" spans="14:49">
      <c r="N1227" s="101"/>
      <c r="AN1227" s="102"/>
      <c r="AO1227" s="103"/>
      <c r="AP1227" s="104"/>
      <c r="AR1227" s="104"/>
      <c r="AS1227" s="43"/>
      <c r="AT1227" s="104"/>
      <c r="AV1227" s="104"/>
      <c r="AW1227" s="102"/>
    </row>
    <row r="1228" spans="14:49">
      <c r="N1228" s="101"/>
      <c r="AN1228" s="102"/>
      <c r="AO1228" s="103"/>
      <c r="AP1228" s="104"/>
      <c r="AR1228" s="104"/>
      <c r="AS1228" s="43"/>
      <c r="AT1228" s="104"/>
      <c r="AV1228" s="104"/>
      <c r="AW1228" s="102"/>
    </row>
    <row r="1229" spans="14:49">
      <c r="N1229" s="101"/>
      <c r="AN1229" s="102"/>
      <c r="AO1229" s="103"/>
      <c r="AP1229" s="104"/>
      <c r="AR1229" s="104"/>
      <c r="AS1229" s="43"/>
      <c r="AT1229" s="104"/>
      <c r="AV1229" s="104"/>
      <c r="AW1229" s="102"/>
    </row>
    <row r="1230" spans="14:49">
      <c r="N1230" s="101"/>
      <c r="AN1230" s="102"/>
      <c r="AO1230" s="103"/>
      <c r="AP1230" s="104"/>
      <c r="AR1230" s="104"/>
      <c r="AS1230" s="43"/>
      <c r="AT1230" s="104"/>
      <c r="AV1230" s="104"/>
      <c r="AW1230" s="102"/>
    </row>
    <row r="1231" spans="14:49">
      <c r="N1231" s="101"/>
      <c r="AN1231" s="102"/>
      <c r="AO1231" s="103"/>
      <c r="AP1231" s="104"/>
      <c r="AR1231" s="104"/>
      <c r="AS1231" s="43"/>
      <c r="AT1231" s="104"/>
      <c r="AV1231" s="104"/>
      <c r="AW1231" s="102"/>
    </row>
    <row r="1232" spans="14:49">
      <c r="N1232" s="101"/>
      <c r="Y1232" s="78"/>
      <c r="AN1232" s="102"/>
      <c r="AO1232" s="103"/>
      <c r="AP1232" s="104"/>
      <c r="AR1232" s="104"/>
      <c r="AS1232" s="43"/>
      <c r="AT1232" s="104"/>
      <c r="AV1232" s="104"/>
      <c r="AW1232" s="102"/>
    </row>
    <row r="1233" spans="14:49">
      <c r="N1233" s="101"/>
      <c r="AN1233" s="102"/>
      <c r="AO1233" s="103"/>
      <c r="AP1233" s="104"/>
      <c r="AR1233" s="104"/>
      <c r="AS1233" s="43"/>
      <c r="AT1233" s="104"/>
      <c r="AV1233" s="104"/>
      <c r="AW1233" s="102"/>
    </row>
    <row r="1234" spans="14:49">
      <c r="N1234" s="101"/>
      <c r="AN1234" s="102"/>
      <c r="AO1234" s="103"/>
      <c r="AP1234" s="104"/>
      <c r="AR1234" s="104"/>
      <c r="AS1234" s="43"/>
      <c r="AT1234" s="104"/>
      <c r="AV1234" s="104"/>
      <c r="AW1234" s="102"/>
    </row>
    <row r="1235" spans="14:49">
      <c r="N1235" s="101"/>
      <c r="AN1235" s="102"/>
      <c r="AO1235" s="103"/>
      <c r="AP1235" s="104"/>
      <c r="AR1235" s="104"/>
      <c r="AS1235" s="43"/>
      <c r="AT1235" s="104"/>
      <c r="AV1235" s="104"/>
      <c r="AW1235" s="102"/>
    </row>
    <row r="1236" spans="14:49">
      <c r="N1236" s="101"/>
      <c r="AN1236" s="102"/>
      <c r="AO1236" s="103"/>
      <c r="AP1236" s="104"/>
      <c r="AR1236" s="104"/>
      <c r="AS1236" s="43"/>
      <c r="AT1236" s="104"/>
      <c r="AV1236" s="104"/>
      <c r="AW1236" s="102"/>
    </row>
    <row r="1237" spans="14:49">
      <c r="N1237" s="101"/>
      <c r="AN1237" s="102"/>
      <c r="AO1237" s="103"/>
      <c r="AP1237" s="104"/>
      <c r="AR1237" s="104"/>
      <c r="AS1237" s="43"/>
      <c r="AT1237" s="104"/>
      <c r="AV1237" s="104"/>
      <c r="AW1237" s="102"/>
    </row>
    <row r="1238" spans="14:49">
      <c r="N1238" s="101"/>
      <c r="AN1238" s="102"/>
      <c r="AO1238" s="103"/>
      <c r="AP1238" s="104"/>
      <c r="AR1238" s="104"/>
      <c r="AS1238" s="43"/>
      <c r="AT1238" s="104"/>
      <c r="AV1238" s="104"/>
      <c r="AW1238" s="102"/>
    </row>
    <row r="1239" spans="14:49">
      <c r="N1239" s="101"/>
      <c r="AN1239" s="102"/>
      <c r="AO1239" s="103"/>
      <c r="AP1239" s="104"/>
      <c r="AR1239" s="104"/>
      <c r="AS1239" s="43"/>
      <c r="AT1239" s="104"/>
      <c r="AV1239" s="104"/>
      <c r="AW1239" s="102"/>
    </row>
    <row r="1240" spans="14:49">
      <c r="N1240" s="101"/>
      <c r="AN1240" s="102"/>
      <c r="AO1240" s="103"/>
      <c r="AP1240" s="104"/>
      <c r="AR1240" s="104"/>
      <c r="AS1240" s="43"/>
      <c r="AT1240" s="104"/>
      <c r="AV1240" s="104"/>
      <c r="AW1240" s="102"/>
    </row>
    <row r="1241" spans="14:49">
      <c r="N1241" s="101"/>
      <c r="AN1241" s="102"/>
      <c r="AO1241" s="103"/>
      <c r="AP1241" s="104"/>
      <c r="AR1241" s="104"/>
      <c r="AS1241" s="43"/>
      <c r="AT1241" s="104"/>
      <c r="AV1241" s="104"/>
      <c r="AW1241" s="102"/>
    </row>
    <row r="1242" spans="14:49">
      <c r="N1242" s="101"/>
      <c r="AN1242" s="102"/>
      <c r="AO1242" s="103"/>
      <c r="AP1242" s="104"/>
      <c r="AR1242" s="104"/>
      <c r="AS1242" s="43"/>
      <c r="AT1242" s="104"/>
      <c r="AV1242" s="104"/>
      <c r="AW1242" s="102"/>
    </row>
    <row r="1243" spans="14:49">
      <c r="N1243" s="101"/>
      <c r="AN1243" s="102"/>
      <c r="AO1243" s="103"/>
      <c r="AP1243" s="104"/>
      <c r="AR1243" s="104"/>
      <c r="AS1243" s="43"/>
      <c r="AT1243" s="104"/>
      <c r="AV1243" s="104"/>
      <c r="AW1243" s="102"/>
    </row>
    <row r="1244" spans="14:49">
      <c r="N1244" s="101"/>
      <c r="AN1244" s="102"/>
      <c r="AO1244" s="103"/>
      <c r="AP1244" s="104"/>
      <c r="AR1244" s="104"/>
      <c r="AS1244" s="43"/>
      <c r="AT1244" s="104"/>
      <c r="AV1244" s="104"/>
      <c r="AW1244" s="102"/>
    </row>
    <row r="1245" spans="14:49">
      <c r="N1245" s="101"/>
      <c r="AN1245" s="102"/>
      <c r="AO1245" s="103"/>
      <c r="AP1245" s="104"/>
      <c r="AR1245" s="104"/>
      <c r="AS1245" s="43"/>
      <c r="AT1245" s="104"/>
      <c r="AV1245" s="104"/>
      <c r="AW1245" s="102"/>
    </row>
    <row r="1246" spans="14:49">
      <c r="N1246" s="101"/>
      <c r="AN1246" s="102"/>
      <c r="AO1246" s="103"/>
      <c r="AP1246" s="104"/>
      <c r="AR1246" s="104"/>
      <c r="AS1246" s="43"/>
      <c r="AT1246" s="104"/>
      <c r="AV1246" s="104"/>
      <c r="AW1246" s="102"/>
    </row>
    <row r="1247" spans="14:49">
      <c r="N1247" s="101"/>
      <c r="AN1247" s="102"/>
      <c r="AO1247" s="103"/>
      <c r="AP1247" s="104"/>
      <c r="AR1247" s="104"/>
      <c r="AS1247" s="43"/>
      <c r="AT1247" s="104"/>
      <c r="AV1247" s="104"/>
      <c r="AW1247" s="102"/>
    </row>
    <row r="1248" spans="14:49">
      <c r="N1248" s="101"/>
      <c r="AN1248" s="102"/>
      <c r="AO1248" s="103"/>
      <c r="AP1248" s="104"/>
      <c r="AR1248" s="104"/>
      <c r="AS1248" s="43"/>
      <c r="AT1248" s="104"/>
      <c r="AV1248" s="104"/>
      <c r="AW1248" s="102"/>
    </row>
    <row r="1249" spans="14:49">
      <c r="N1249" s="101"/>
      <c r="AN1249" s="102"/>
      <c r="AO1249" s="103"/>
      <c r="AP1249" s="104"/>
      <c r="AR1249" s="104"/>
      <c r="AS1249" s="43"/>
      <c r="AT1249" s="104"/>
      <c r="AV1249" s="104"/>
      <c r="AW1249" s="102"/>
    </row>
    <row r="1250" spans="14:49">
      <c r="N1250" s="101"/>
      <c r="AN1250" s="102"/>
      <c r="AO1250" s="103"/>
      <c r="AP1250" s="104"/>
      <c r="AR1250" s="104"/>
      <c r="AS1250" s="43"/>
      <c r="AT1250" s="104"/>
      <c r="AV1250" s="104"/>
      <c r="AW1250" s="102"/>
    </row>
    <row r="1251" spans="14:49">
      <c r="N1251" s="101"/>
      <c r="AN1251" s="102"/>
      <c r="AO1251" s="103"/>
      <c r="AP1251" s="104"/>
      <c r="AR1251" s="104"/>
      <c r="AS1251" s="43"/>
      <c r="AT1251" s="104"/>
      <c r="AV1251" s="104"/>
      <c r="AW1251" s="102"/>
    </row>
    <row r="1252" spans="14:49">
      <c r="N1252" s="101"/>
      <c r="AN1252" s="102"/>
      <c r="AO1252" s="103"/>
      <c r="AP1252" s="104"/>
      <c r="AR1252" s="104"/>
      <c r="AS1252" s="43"/>
      <c r="AT1252" s="104"/>
      <c r="AV1252" s="104"/>
      <c r="AW1252" s="102"/>
    </row>
    <row r="1253" spans="14:49">
      <c r="N1253" s="101"/>
      <c r="AN1253" s="102"/>
      <c r="AO1253" s="103"/>
      <c r="AP1253" s="104"/>
      <c r="AR1253" s="104"/>
      <c r="AS1253" s="43"/>
      <c r="AT1253" s="104"/>
      <c r="AV1253" s="104"/>
      <c r="AW1253" s="102"/>
    </row>
    <row r="1254" spans="14:49">
      <c r="N1254" s="101"/>
      <c r="AN1254" s="102"/>
      <c r="AO1254" s="103"/>
      <c r="AP1254" s="104"/>
      <c r="AR1254" s="104"/>
      <c r="AS1254" s="43"/>
      <c r="AT1254" s="104"/>
      <c r="AV1254" s="104"/>
      <c r="AW1254" s="102"/>
    </row>
    <row r="1255" spans="14:49">
      <c r="N1255" s="101"/>
      <c r="AN1255" s="102"/>
      <c r="AO1255" s="103"/>
      <c r="AP1255" s="104"/>
      <c r="AR1255" s="104"/>
      <c r="AS1255" s="43"/>
      <c r="AT1255" s="104"/>
      <c r="AV1255" s="104"/>
      <c r="AW1255" s="102"/>
    </row>
    <row r="1256" spans="14:49">
      <c r="N1256" s="101"/>
      <c r="AN1256" s="102"/>
      <c r="AO1256" s="103"/>
      <c r="AP1256" s="104"/>
      <c r="AR1256" s="104"/>
      <c r="AS1256" s="43"/>
      <c r="AT1256" s="104"/>
      <c r="AV1256" s="104"/>
      <c r="AW1256" s="102"/>
    </row>
    <row r="1257" spans="14:49">
      <c r="N1257" s="101"/>
      <c r="AN1257" s="102"/>
      <c r="AO1257" s="103"/>
      <c r="AP1257" s="104"/>
      <c r="AR1257" s="104"/>
      <c r="AS1257" s="43"/>
      <c r="AT1257" s="104"/>
      <c r="AV1257" s="104"/>
      <c r="AW1257" s="102"/>
    </row>
    <row r="1258" spans="14:49">
      <c r="N1258" s="101"/>
      <c r="AN1258" s="102"/>
      <c r="AO1258" s="103"/>
      <c r="AP1258" s="104"/>
      <c r="AR1258" s="104"/>
      <c r="AS1258" s="43"/>
      <c r="AT1258" s="104"/>
      <c r="AV1258" s="104"/>
      <c r="AW1258" s="102"/>
    </row>
    <row r="1259" spans="14:49">
      <c r="N1259" s="101"/>
      <c r="AN1259" s="102"/>
      <c r="AO1259" s="103"/>
      <c r="AP1259" s="104"/>
      <c r="AR1259" s="104"/>
      <c r="AS1259" s="43"/>
      <c r="AT1259" s="104"/>
      <c r="AV1259" s="104"/>
      <c r="AW1259" s="102"/>
    </row>
    <row r="1260" spans="14:49">
      <c r="N1260" s="101"/>
      <c r="AN1260" s="102"/>
      <c r="AO1260" s="103"/>
      <c r="AP1260" s="104"/>
      <c r="AR1260" s="104"/>
      <c r="AS1260" s="43"/>
      <c r="AT1260" s="104"/>
      <c r="AV1260" s="104"/>
      <c r="AW1260" s="102"/>
    </row>
    <row r="1261" spans="14:49">
      <c r="N1261" s="101"/>
      <c r="AN1261" s="102"/>
      <c r="AO1261" s="103"/>
      <c r="AP1261" s="104"/>
      <c r="AR1261" s="104"/>
      <c r="AS1261" s="43"/>
      <c r="AT1261" s="104"/>
      <c r="AV1261" s="104"/>
      <c r="AW1261" s="102"/>
    </row>
    <row r="1262" spans="14:49">
      <c r="N1262" s="101"/>
      <c r="AN1262" s="102"/>
      <c r="AO1262" s="103"/>
      <c r="AP1262" s="104"/>
      <c r="AR1262" s="104"/>
      <c r="AS1262" s="43"/>
      <c r="AT1262" s="104"/>
      <c r="AV1262" s="104"/>
      <c r="AW1262" s="102"/>
    </row>
    <row r="1263" spans="14:49">
      <c r="N1263" s="101"/>
      <c r="AN1263" s="102"/>
      <c r="AO1263" s="103"/>
      <c r="AP1263" s="104"/>
      <c r="AR1263" s="104"/>
      <c r="AS1263" s="43"/>
      <c r="AT1263" s="104"/>
      <c r="AV1263" s="104"/>
      <c r="AW1263" s="102"/>
    </row>
    <row r="1264" spans="14:49">
      <c r="N1264" s="101"/>
      <c r="AN1264" s="102"/>
      <c r="AO1264" s="103"/>
      <c r="AP1264" s="104"/>
      <c r="AR1264" s="104"/>
      <c r="AS1264" s="43"/>
      <c r="AT1264" s="104"/>
      <c r="AV1264" s="104"/>
      <c r="AW1264" s="102"/>
    </row>
    <row r="1265" spans="14:49">
      <c r="N1265" s="101"/>
      <c r="AN1265" s="102"/>
      <c r="AO1265" s="103"/>
      <c r="AP1265" s="104"/>
      <c r="AR1265" s="104"/>
      <c r="AS1265" s="43"/>
      <c r="AT1265" s="104"/>
      <c r="AV1265" s="104"/>
      <c r="AW1265" s="102"/>
    </row>
    <row r="1266" spans="14:49">
      <c r="N1266" s="101"/>
      <c r="AN1266" s="102"/>
      <c r="AO1266" s="103"/>
      <c r="AP1266" s="104"/>
      <c r="AR1266" s="104"/>
      <c r="AS1266" s="43"/>
      <c r="AT1266" s="104"/>
      <c r="AV1266" s="104"/>
      <c r="AW1266" s="102"/>
    </row>
    <row r="1267" spans="14:49">
      <c r="N1267" s="101"/>
      <c r="AN1267" s="102"/>
      <c r="AO1267" s="103"/>
      <c r="AP1267" s="104"/>
      <c r="AR1267" s="104"/>
      <c r="AS1267" s="43"/>
      <c r="AT1267" s="104"/>
      <c r="AV1267" s="104"/>
      <c r="AW1267" s="102"/>
    </row>
    <row r="1268" spans="14:49">
      <c r="N1268" s="101"/>
      <c r="AN1268" s="102"/>
      <c r="AO1268" s="103"/>
      <c r="AP1268" s="104"/>
      <c r="AR1268" s="104"/>
      <c r="AS1268" s="43"/>
      <c r="AT1268" s="104"/>
      <c r="AV1268" s="104"/>
      <c r="AW1268" s="102"/>
    </row>
    <row r="1269" spans="14:49">
      <c r="N1269" s="101"/>
      <c r="AN1269" s="102"/>
      <c r="AO1269" s="103"/>
      <c r="AP1269" s="104"/>
      <c r="AR1269" s="104"/>
      <c r="AS1269" s="43"/>
      <c r="AT1269" s="104"/>
      <c r="AV1269" s="104"/>
      <c r="AW1269" s="102"/>
    </row>
    <row r="1270" spans="14:49">
      <c r="N1270" s="101"/>
      <c r="AN1270" s="102"/>
      <c r="AO1270" s="103"/>
      <c r="AP1270" s="104"/>
      <c r="AR1270" s="104"/>
      <c r="AS1270" s="43"/>
      <c r="AT1270" s="104"/>
      <c r="AV1270" s="104"/>
      <c r="AW1270" s="102"/>
    </row>
    <row r="1271" spans="14:49">
      <c r="N1271" s="101"/>
      <c r="AN1271" s="102"/>
      <c r="AO1271" s="103"/>
      <c r="AP1271" s="104"/>
      <c r="AR1271" s="104"/>
      <c r="AS1271" s="43"/>
      <c r="AT1271" s="104"/>
      <c r="AV1271" s="104"/>
      <c r="AW1271" s="102"/>
    </row>
    <row r="1272" spans="14:49">
      <c r="N1272" s="101"/>
      <c r="AN1272" s="102"/>
      <c r="AO1272" s="103"/>
      <c r="AP1272" s="104"/>
      <c r="AR1272" s="104"/>
      <c r="AS1272" s="43"/>
      <c r="AT1272" s="104"/>
      <c r="AV1272" s="104"/>
      <c r="AW1272" s="102"/>
    </row>
    <row r="1273" spans="14:49">
      <c r="N1273" s="101"/>
      <c r="Y1273" s="78"/>
      <c r="AN1273" s="102"/>
      <c r="AO1273" s="103"/>
      <c r="AP1273" s="104"/>
      <c r="AR1273" s="104"/>
      <c r="AS1273" s="43"/>
      <c r="AT1273" s="104"/>
      <c r="AV1273" s="104"/>
      <c r="AW1273" s="102"/>
    </row>
    <row r="1274" spans="14:49">
      <c r="N1274" s="101"/>
      <c r="AN1274" s="102"/>
      <c r="AO1274" s="103"/>
      <c r="AP1274" s="104"/>
      <c r="AR1274" s="104"/>
      <c r="AS1274" s="43"/>
      <c r="AT1274" s="104"/>
      <c r="AV1274" s="104"/>
      <c r="AW1274" s="102"/>
    </row>
    <row r="1275" spans="14:49">
      <c r="N1275" s="101"/>
      <c r="AN1275" s="102"/>
      <c r="AO1275" s="103"/>
      <c r="AP1275" s="104"/>
      <c r="AR1275" s="104"/>
      <c r="AS1275" s="43"/>
      <c r="AT1275" s="104"/>
      <c r="AV1275" s="104"/>
      <c r="AW1275" s="102"/>
    </row>
    <row r="1276" spans="14:49">
      <c r="N1276" s="101"/>
      <c r="AN1276" s="102"/>
      <c r="AO1276" s="103"/>
      <c r="AP1276" s="104"/>
      <c r="AR1276" s="104"/>
      <c r="AS1276" s="43"/>
      <c r="AT1276" s="104"/>
      <c r="AV1276" s="104"/>
      <c r="AW1276" s="102"/>
    </row>
    <row r="1277" spans="14:49">
      <c r="N1277" s="101"/>
      <c r="AN1277" s="102"/>
      <c r="AO1277" s="103"/>
      <c r="AP1277" s="104"/>
      <c r="AR1277" s="104"/>
      <c r="AS1277" s="43"/>
      <c r="AT1277" s="104"/>
      <c r="AV1277" s="104"/>
      <c r="AW1277" s="102"/>
    </row>
    <row r="1278" spans="14:49">
      <c r="N1278" s="101"/>
      <c r="AN1278" s="102"/>
      <c r="AO1278" s="103"/>
      <c r="AP1278" s="104"/>
      <c r="AR1278" s="104"/>
      <c r="AS1278" s="43"/>
      <c r="AT1278" s="104"/>
      <c r="AV1278" s="104"/>
      <c r="AW1278" s="102"/>
    </row>
    <row r="1279" spans="14:49">
      <c r="N1279" s="101"/>
      <c r="AN1279" s="102"/>
      <c r="AO1279" s="103"/>
      <c r="AP1279" s="104"/>
      <c r="AR1279" s="104"/>
      <c r="AS1279" s="43"/>
      <c r="AT1279" s="104"/>
      <c r="AV1279" s="104"/>
      <c r="AW1279" s="102"/>
    </row>
    <row r="1280" spans="14:49">
      <c r="N1280" s="101"/>
      <c r="AN1280" s="102"/>
      <c r="AO1280" s="103"/>
      <c r="AP1280" s="104"/>
      <c r="AR1280" s="104"/>
      <c r="AS1280" s="43"/>
      <c r="AT1280" s="104"/>
      <c r="AV1280" s="104"/>
      <c r="AW1280" s="102"/>
    </row>
    <row r="1281" spans="14:49">
      <c r="N1281" s="101"/>
      <c r="AN1281" s="102"/>
      <c r="AO1281" s="103"/>
      <c r="AP1281" s="104"/>
      <c r="AR1281" s="104"/>
      <c r="AS1281" s="43"/>
      <c r="AT1281" s="104"/>
      <c r="AV1281" s="104"/>
      <c r="AW1281" s="102"/>
    </row>
    <row r="1282" spans="14:49">
      <c r="N1282" s="101"/>
      <c r="AN1282" s="102"/>
      <c r="AO1282" s="103"/>
      <c r="AP1282" s="104"/>
      <c r="AR1282" s="104"/>
      <c r="AS1282" s="43"/>
      <c r="AT1282" s="104"/>
      <c r="AV1282" s="104"/>
      <c r="AW1282" s="102"/>
    </row>
    <row r="1283" spans="14:49">
      <c r="N1283" s="101"/>
      <c r="AN1283" s="102"/>
      <c r="AO1283" s="103"/>
      <c r="AP1283" s="104"/>
      <c r="AR1283" s="104"/>
      <c r="AS1283" s="43"/>
      <c r="AT1283" s="104"/>
      <c r="AV1283" s="104"/>
      <c r="AW1283" s="102"/>
    </row>
    <row r="1284" spans="14:49">
      <c r="N1284" s="101"/>
      <c r="AN1284" s="102"/>
      <c r="AO1284" s="103"/>
      <c r="AP1284" s="104"/>
      <c r="AR1284" s="104"/>
      <c r="AS1284" s="43"/>
      <c r="AT1284" s="104"/>
      <c r="AV1284" s="104"/>
      <c r="AW1284" s="102"/>
    </row>
    <row r="1285" spans="14:49">
      <c r="N1285" s="101"/>
      <c r="AN1285" s="102"/>
      <c r="AO1285" s="103"/>
      <c r="AP1285" s="104"/>
      <c r="AR1285" s="104"/>
      <c r="AS1285" s="43"/>
      <c r="AT1285" s="104"/>
      <c r="AV1285" s="104"/>
      <c r="AW1285" s="102"/>
    </row>
    <row r="1286" spans="14:49">
      <c r="N1286" s="101"/>
      <c r="AN1286" s="102"/>
      <c r="AO1286" s="103"/>
      <c r="AP1286" s="104"/>
      <c r="AR1286" s="104"/>
      <c r="AS1286" s="43"/>
      <c r="AT1286" s="104"/>
      <c r="AV1286" s="104"/>
      <c r="AW1286" s="102"/>
    </row>
    <row r="1287" spans="14:49">
      <c r="N1287" s="101"/>
      <c r="AN1287" s="102"/>
      <c r="AO1287" s="103"/>
      <c r="AP1287" s="104"/>
      <c r="AR1287" s="104"/>
      <c r="AS1287" s="43"/>
      <c r="AT1287" s="104"/>
      <c r="AV1287" s="104"/>
      <c r="AW1287" s="102"/>
    </row>
    <row r="1288" spans="14:49">
      <c r="N1288" s="101"/>
      <c r="AN1288" s="102"/>
      <c r="AO1288" s="103"/>
      <c r="AP1288" s="104"/>
      <c r="AR1288" s="104"/>
      <c r="AS1288" s="43"/>
      <c r="AT1288" s="104"/>
      <c r="AV1288" s="104"/>
      <c r="AW1288" s="102"/>
    </row>
    <row r="1289" spans="14:49">
      <c r="N1289" s="101"/>
      <c r="AN1289" s="102"/>
      <c r="AO1289" s="103"/>
      <c r="AP1289" s="104"/>
      <c r="AR1289" s="104"/>
      <c r="AS1289" s="43"/>
      <c r="AT1289" s="104"/>
      <c r="AV1289" s="104"/>
      <c r="AW1289" s="102"/>
    </row>
    <row r="1290" spans="14:49">
      <c r="N1290" s="101"/>
      <c r="AN1290" s="102"/>
      <c r="AO1290" s="103"/>
      <c r="AP1290" s="104"/>
      <c r="AR1290" s="104"/>
      <c r="AS1290" s="43"/>
      <c r="AT1290" s="104"/>
      <c r="AV1290" s="104"/>
      <c r="AW1290" s="102"/>
    </row>
    <row r="1291" spans="14:49">
      <c r="N1291" s="101"/>
      <c r="AN1291" s="102"/>
      <c r="AO1291" s="103"/>
      <c r="AP1291" s="104"/>
      <c r="AR1291" s="104"/>
      <c r="AS1291" s="43"/>
      <c r="AT1291" s="104"/>
      <c r="AV1291" s="104"/>
      <c r="AW1291" s="102"/>
    </row>
    <row r="1292" spans="14:49">
      <c r="N1292" s="101"/>
      <c r="AN1292" s="102"/>
      <c r="AO1292" s="103"/>
      <c r="AP1292" s="104"/>
      <c r="AR1292" s="104"/>
      <c r="AS1292" s="43"/>
      <c r="AT1292" s="104"/>
      <c r="AV1292" s="104"/>
      <c r="AW1292" s="102"/>
    </row>
    <row r="1293" spans="14:49">
      <c r="N1293" s="101"/>
      <c r="AN1293" s="102"/>
      <c r="AO1293" s="103"/>
      <c r="AP1293" s="104"/>
      <c r="AR1293" s="104"/>
      <c r="AS1293" s="43"/>
      <c r="AT1293" s="104"/>
      <c r="AV1293" s="104"/>
      <c r="AW1293" s="102"/>
    </row>
    <row r="1294" spans="14:49">
      <c r="N1294" s="101"/>
      <c r="AN1294" s="102"/>
      <c r="AO1294" s="103"/>
      <c r="AP1294" s="104"/>
      <c r="AR1294" s="104"/>
      <c r="AS1294" s="43"/>
      <c r="AT1294" s="104"/>
      <c r="AV1294" s="104"/>
      <c r="AW1294" s="102"/>
    </row>
    <row r="1295" spans="14:49">
      <c r="N1295" s="101"/>
      <c r="AN1295" s="102"/>
      <c r="AO1295" s="103"/>
      <c r="AP1295" s="104"/>
      <c r="AR1295" s="104"/>
      <c r="AS1295" s="43"/>
      <c r="AT1295" s="104"/>
      <c r="AV1295" s="104"/>
      <c r="AW1295" s="102"/>
    </row>
    <row r="1296" spans="14:49">
      <c r="N1296" s="101"/>
      <c r="AN1296" s="102"/>
      <c r="AO1296" s="103"/>
      <c r="AP1296" s="104"/>
      <c r="AR1296" s="104"/>
      <c r="AS1296" s="43"/>
      <c r="AT1296" s="104"/>
      <c r="AV1296" s="104"/>
      <c r="AW1296" s="102"/>
    </row>
    <row r="1297" spans="14:49">
      <c r="N1297" s="101"/>
      <c r="AN1297" s="102"/>
      <c r="AO1297" s="103"/>
      <c r="AP1297" s="104"/>
      <c r="AR1297" s="104"/>
      <c r="AS1297" s="43"/>
      <c r="AT1297" s="104"/>
      <c r="AV1297" s="104"/>
      <c r="AW1297" s="102"/>
    </row>
    <row r="1298" spans="14:49">
      <c r="N1298" s="101"/>
      <c r="AN1298" s="102"/>
      <c r="AO1298" s="103"/>
      <c r="AP1298" s="104"/>
      <c r="AR1298" s="104"/>
      <c r="AS1298" s="43"/>
      <c r="AT1298" s="104"/>
      <c r="AV1298" s="104"/>
      <c r="AW1298" s="102"/>
    </row>
    <row r="1299" spans="14:49">
      <c r="N1299" s="101"/>
      <c r="AN1299" s="102"/>
      <c r="AO1299" s="103"/>
      <c r="AP1299" s="104"/>
      <c r="AR1299" s="104"/>
      <c r="AS1299" s="43"/>
      <c r="AT1299" s="104"/>
      <c r="AV1299" s="104"/>
      <c r="AW1299" s="102"/>
    </row>
    <row r="1300" spans="14:49">
      <c r="N1300" s="101"/>
      <c r="AN1300" s="102"/>
      <c r="AO1300" s="103"/>
      <c r="AP1300" s="104"/>
      <c r="AR1300" s="104"/>
      <c r="AS1300" s="43"/>
      <c r="AT1300" s="104"/>
      <c r="AV1300" s="104"/>
      <c r="AW1300" s="102"/>
    </row>
    <row r="1301" spans="14:49">
      <c r="N1301" s="101"/>
      <c r="AN1301" s="102"/>
      <c r="AO1301" s="103"/>
      <c r="AP1301" s="104"/>
      <c r="AR1301" s="104"/>
      <c r="AS1301" s="43"/>
      <c r="AT1301" s="104"/>
      <c r="AV1301" s="104"/>
      <c r="AW1301" s="102"/>
    </row>
    <row r="1302" spans="14:49">
      <c r="N1302" s="101"/>
      <c r="AN1302" s="102"/>
      <c r="AO1302" s="103"/>
      <c r="AP1302" s="104"/>
      <c r="AR1302" s="104"/>
      <c r="AS1302" s="43"/>
      <c r="AT1302" s="104"/>
      <c r="AV1302" s="104"/>
      <c r="AW1302" s="102"/>
    </row>
    <row r="1303" spans="14:49">
      <c r="N1303" s="101"/>
      <c r="AN1303" s="102"/>
      <c r="AO1303" s="103"/>
      <c r="AP1303" s="104"/>
      <c r="AR1303" s="104"/>
      <c r="AS1303" s="43"/>
      <c r="AT1303" s="104"/>
      <c r="AV1303" s="104"/>
      <c r="AW1303" s="102"/>
    </row>
    <row r="1304" spans="14:49">
      <c r="N1304" s="101"/>
      <c r="AN1304" s="102"/>
      <c r="AO1304" s="103"/>
      <c r="AP1304" s="104"/>
      <c r="AR1304" s="104"/>
      <c r="AS1304" s="43"/>
      <c r="AT1304" s="104"/>
      <c r="AV1304" s="104"/>
      <c r="AW1304" s="102"/>
    </row>
    <row r="1305" spans="14:49">
      <c r="N1305" s="101"/>
      <c r="AN1305" s="102"/>
      <c r="AO1305" s="103"/>
      <c r="AP1305" s="104"/>
      <c r="AR1305" s="104"/>
      <c r="AS1305" s="43"/>
      <c r="AT1305" s="104"/>
      <c r="AV1305" s="104"/>
      <c r="AW1305" s="102"/>
    </row>
    <row r="1306" spans="14:49">
      <c r="N1306" s="101"/>
      <c r="AN1306" s="102"/>
      <c r="AO1306" s="103"/>
      <c r="AP1306" s="104"/>
      <c r="AR1306" s="104"/>
      <c r="AS1306" s="43"/>
      <c r="AT1306" s="104"/>
      <c r="AV1306" s="104"/>
      <c r="AW1306" s="102"/>
    </row>
    <row r="1307" spans="14:49">
      <c r="N1307" s="101"/>
      <c r="AN1307" s="102"/>
      <c r="AO1307" s="103"/>
      <c r="AP1307" s="104"/>
      <c r="AR1307" s="104"/>
      <c r="AS1307" s="43"/>
      <c r="AT1307" s="104"/>
      <c r="AV1307" s="104"/>
      <c r="AW1307" s="102"/>
    </row>
    <row r="1308" spans="14:49">
      <c r="N1308" s="101"/>
      <c r="AN1308" s="102"/>
      <c r="AO1308" s="103"/>
      <c r="AP1308" s="104"/>
      <c r="AR1308" s="104"/>
      <c r="AS1308" s="43"/>
      <c r="AT1308" s="104"/>
      <c r="AV1308" s="104"/>
      <c r="AW1308" s="102"/>
    </row>
    <row r="1309" spans="14:49">
      <c r="N1309" s="101"/>
      <c r="AN1309" s="102"/>
      <c r="AO1309" s="103"/>
      <c r="AP1309" s="104"/>
      <c r="AR1309" s="104"/>
      <c r="AS1309" s="43"/>
      <c r="AT1309" s="104"/>
      <c r="AV1309" s="104"/>
      <c r="AW1309" s="102"/>
    </row>
    <row r="1310" spans="14:49">
      <c r="N1310" s="101"/>
      <c r="AN1310" s="102"/>
      <c r="AO1310" s="103"/>
      <c r="AP1310" s="104"/>
      <c r="AR1310" s="104"/>
      <c r="AS1310" s="43"/>
      <c r="AT1310" s="104"/>
      <c r="AV1310" s="104"/>
      <c r="AW1310" s="102"/>
    </row>
    <row r="1311" spans="14:49">
      <c r="N1311" s="101"/>
      <c r="AN1311" s="102"/>
      <c r="AO1311" s="103"/>
      <c r="AP1311" s="104"/>
      <c r="AR1311" s="104"/>
      <c r="AS1311" s="43"/>
      <c r="AT1311" s="104"/>
      <c r="AV1311" s="104"/>
      <c r="AW1311" s="102"/>
    </row>
    <row r="1312" spans="14:49">
      <c r="N1312" s="101"/>
      <c r="AN1312" s="102"/>
      <c r="AO1312" s="103"/>
      <c r="AP1312" s="104"/>
      <c r="AR1312" s="104"/>
      <c r="AS1312" s="43"/>
      <c r="AT1312" s="104"/>
      <c r="AV1312" s="104"/>
      <c r="AW1312" s="102"/>
    </row>
    <row r="1313" spans="14:49">
      <c r="N1313" s="101"/>
      <c r="AN1313" s="102"/>
      <c r="AO1313" s="103"/>
      <c r="AP1313" s="104"/>
      <c r="AR1313" s="104"/>
      <c r="AS1313" s="43"/>
      <c r="AT1313" s="104"/>
      <c r="AV1313" s="104"/>
      <c r="AW1313" s="102"/>
    </row>
    <row r="1314" spans="14:49">
      <c r="N1314" s="101"/>
      <c r="Y1314" s="78"/>
      <c r="AN1314" s="102"/>
      <c r="AO1314" s="103"/>
      <c r="AP1314" s="104"/>
      <c r="AR1314" s="104"/>
      <c r="AS1314" s="43"/>
      <c r="AT1314" s="104"/>
      <c r="AV1314" s="104"/>
      <c r="AW1314" s="102"/>
    </row>
    <row r="1315" spans="14:49">
      <c r="N1315" s="101"/>
      <c r="AN1315" s="102"/>
      <c r="AO1315" s="103"/>
      <c r="AP1315" s="104"/>
      <c r="AR1315" s="104"/>
      <c r="AS1315" s="43"/>
      <c r="AT1315" s="104"/>
      <c r="AV1315" s="104"/>
      <c r="AW1315" s="102"/>
    </row>
    <row r="1316" spans="14:49">
      <c r="N1316" s="101"/>
      <c r="AN1316" s="102"/>
      <c r="AO1316" s="103"/>
      <c r="AP1316" s="104"/>
      <c r="AR1316" s="104"/>
      <c r="AS1316" s="43"/>
      <c r="AT1316" s="104"/>
      <c r="AV1316" s="104"/>
      <c r="AW1316" s="102"/>
    </row>
    <row r="1317" spans="14:49">
      <c r="N1317" s="101"/>
      <c r="AN1317" s="102"/>
      <c r="AO1317" s="103"/>
      <c r="AP1317" s="104"/>
      <c r="AR1317" s="104"/>
      <c r="AS1317" s="43"/>
      <c r="AT1317" s="104"/>
      <c r="AV1317" s="104"/>
      <c r="AW1317" s="102"/>
    </row>
    <row r="1318" spans="14:49">
      <c r="N1318" s="101"/>
      <c r="AN1318" s="102"/>
      <c r="AO1318" s="103"/>
      <c r="AP1318" s="104"/>
      <c r="AR1318" s="104"/>
      <c r="AS1318" s="43"/>
      <c r="AT1318" s="104"/>
      <c r="AV1318" s="104"/>
      <c r="AW1318" s="102"/>
    </row>
    <row r="1319" spans="14:49">
      <c r="N1319" s="101"/>
      <c r="AN1319" s="102"/>
      <c r="AO1319" s="103"/>
      <c r="AP1319" s="104"/>
      <c r="AR1319" s="104"/>
      <c r="AS1319" s="43"/>
      <c r="AT1319" s="104"/>
      <c r="AV1319" s="104"/>
      <c r="AW1319" s="102"/>
    </row>
    <row r="1320" spans="14:49">
      <c r="N1320" s="101"/>
      <c r="AN1320" s="102"/>
      <c r="AO1320" s="103"/>
      <c r="AP1320" s="104"/>
      <c r="AR1320" s="104"/>
      <c r="AS1320" s="43"/>
      <c r="AT1320" s="104"/>
      <c r="AV1320" s="104"/>
      <c r="AW1320" s="102"/>
    </row>
    <row r="1321" spans="14:49">
      <c r="N1321" s="101"/>
      <c r="AN1321" s="102"/>
      <c r="AO1321" s="103"/>
      <c r="AP1321" s="104"/>
      <c r="AR1321" s="104"/>
      <c r="AS1321" s="43"/>
      <c r="AT1321" s="104"/>
      <c r="AV1321" s="104"/>
      <c r="AW1321" s="102"/>
    </row>
    <row r="1322" spans="14:49">
      <c r="N1322" s="101"/>
      <c r="AN1322" s="102"/>
      <c r="AO1322" s="103"/>
      <c r="AP1322" s="104"/>
      <c r="AR1322" s="104"/>
      <c r="AS1322" s="43"/>
      <c r="AT1322" s="104"/>
      <c r="AV1322" s="104"/>
      <c r="AW1322" s="102"/>
    </row>
    <row r="1323" spans="14:49">
      <c r="N1323" s="101"/>
      <c r="AN1323" s="102"/>
      <c r="AO1323" s="103"/>
      <c r="AP1323" s="104"/>
      <c r="AR1323" s="104"/>
      <c r="AS1323" s="43"/>
      <c r="AT1323" s="104"/>
      <c r="AV1323" s="104"/>
      <c r="AW1323" s="102"/>
    </row>
    <row r="1324" spans="14:49">
      <c r="N1324" s="101"/>
      <c r="AN1324" s="102"/>
      <c r="AO1324" s="103"/>
      <c r="AP1324" s="104"/>
      <c r="AR1324" s="104"/>
      <c r="AS1324" s="43"/>
      <c r="AT1324" s="104"/>
      <c r="AV1324" s="104"/>
      <c r="AW1324" s="102"/>
    </row>
    <row r="1325" spans="14:49">
      <c r="N1325" s="101"/>
      <c r="AN1325" s="102"/>
      <c r="AO1325" s="103"/>
      <c r="AP1325" s="104"/>
      <c r="AR1325" s="104"/>
      <c r="AS1325" s="43"/>
      <c r="AT1325" s="104"/>
      <c r="AV1325" s="104"/>
      <c r="AW1325" s="102"/>
    </row>
    <row r="1326" spans="14:49">
      <c r="N1326" s="101"/>
      <c r="AN1326" s="102"/>
      <c r="AO1326" s="103"/>
      <c r="AP1326" s="104"/>
      <c r="AR1326" s="104"/>
      <c r="AS1326" s="43"/>
      <c r="AT1326" s="104"/>
      <c r="AV1326" s="104"/>
      <c r="AW1326" s="102"/>
    </row>
    <row r="1327" spans="14:49">
      <c r="N1327" s="101"/>
      <c r="AN1327" s="102"/>
      <c r="AO1327" s="103"/>
      <c r="AP1327" s="104"/>
      <c r="AR1327" s="104"/>
      <c r="AS1327" s="43"/>
      <c r="AT1327" s="104"/>
      <c r="AV1327" s="104"/>
      <c r="AW1327" s="102"/>
    </row>
    <row r="1328" spans="14:49">
      <c r="N1328" s="101"/>
      <c r="AN1328" s="102"/>
      <c r="AO1328" s="103"/>
      <c r="AP1328" s="104"/>
      <c r="AR1328" s="104"/>
      <c r="AS1328" s="43"/>
      <c r="AT1328" s="104"/>
      <c r="AV1328" s="104"/>
      <c r="AW1328" s="102"/>
    </row>
    <row r="1329" spans="14:49">
      <c r="N1329" s="101"/>
      <c r="AN1329" s="102"/>
      <c r="AO1329" s="103"/>
      <c r="AP1329" s="104"/>
      <c r="AR1329" s="104"/>
      <c r="AS1329" s="43"/>
      <c r="AT1329" s="104"/>
      <c r="AV1329" s="104"/>
      <c r="AW1329" s="102"/>
    </row>
    <row r="1330" spans="14:49">
      <c r="N1330" s="101"/>
      <c r="AN1330" s="102"/>
      <c r="AO1330" s="103"/>
      <c r="AP1330" s="104"/>
      <c r="AR1330" s="104"/>
      <c r="AS1330" s="43"/>
      <c r="AT1330" s="104"/>
      <c r="AV1330" s="104"/>
      <c r="AW1330" s="102"/>
    </row>
    <row r="1331" spans="14:49">
      <c r="N1331" s="101"/>
      <c r="AN1331" s="102"/>
      <c r="AO1331" s="103"/>
      <c r="AP1331" s="104"/>
      <c r="AR1331" s="104"/>
      <c r="AS1331" s="43"/>
      <c r="AT1331" s="104"/>
      <c r="AV1331" s="104"/>
      <c r="AW1331" s="102"/>
    </row>
    <row r="1332" spans="14:49">
      <c r="N1332" s="101"/>
      <c r="AN1332" s="102"/>
      <c r="AO1332" s="103"/>
      <c r="AP1332" s="104"/>
      <c r="AR1332" s="104"/>
      <c r="AS1332" s="43"/>
      <c r="AT1332" s="104"/>
      <c r="AV1332" s="104"/>
      <c r="AW1332" s="102"/>
    </row>
    <row r="1333" spans="14:49">
      <c r="N1333" s="101"/>
      <c r="AN1333" s="102"/>
      <c r="AO1333" s="103"/>
      <c r="AP1333" s="104"/>
      <c r="AR1333" s="104"/>
      <c r="AS1333" s="43"/>
      <c r="AT1333" s="104"/>
      <c r="AV1333" s="104"/>
      <c r="AW1333" s="102"/>
    </row>
    <row r="1334" spans="14:49">
      <c r="N1334" s="101"/>
      <c r="AN1334" s="102"/>
      <c r="AO1334" s="103"/>
      <c r="AP1334" s="104"/>
      <c r="AR1334" s="104"/>
      <c r="AS1334" s="43"/>
      <c r="AT1334" s="104"/>
      <c r="AV1334" s="104"/>
      <c r="AW1334" s="102"/>
    </row>
    <row r="1335" spans="14:49">
      <c r="N1335" s="101"/>
      <c r="AN1335" s="102"/>
      <c r="AO1335" s="103"/>
      <c r="AP1335" s="104"/>
      <c r="AR1335" s="104"/>
      <c r="AS1335" s="43"/>
      <c r="AT1335" s="104"/>
      <c r="AV1335" s="104"/>
      <c r="AW1335" s="102"/>
    </row>
    <row r="1336" spans="14:49">
      <c r="N1336" s="101"/>
      <c r="AN1336" s="102"/>
      <c r="AO1336" s="103"/>
      <c r="AP1336" s="104"/>
      <c r="AR1336" s="104"/>
      <c r="AS1336" s="43"/>
      <c r="AT1336" s="104"/>
      <c r="AV1336" s="104"/>
      <c r="AW1336" s="102"/>
    </row>
    <row r="1337" spans="14:49">
      <c r="N1337" s="101"/>
      <c r="AN1337" s="102"/>
      <c r="AO1337" s="103"/>
      <c r="AP1337" s="104"/>
      <c r="AR1337" s="104"/>
      <c r="AS1337" s="43"/>
      <c r="AT1337" s="104"/>
      <c r="AV1337" s="104"/>
      <c r="AW1337" s="102"/>
    </row>
    <row r="1338" spans="14:49">
      <c r="N1338" s="101"/>
      <c r="AN1338" s="102"/>
      <c r="AO1338" s="103"/>
      <c r="AP1338" s="104"/>
      <c r="AR1338" s="104"/>
      <c r="AS1338" s="43"/>
      <c r="AT1338" s="104"/>
      <c r="AV1338" s="104"/>
      <c r="AW1338" s="102"/>
    </row>
    <row r="1339" spans="14:49">
      <c r="N1339" s="101"/>
      <c r="AN1339" s="102"/>
      <c r="AO1339" s="103"/>
      <c r="AP1339" s="104"/>
      <c r="AR1339" s="104"/>
      <c r="AS1339" s="43"/>
      <c r="AT1339" s="104"/>
      <c r="AV1339" s="104"/>
      <c r="AW1339" s="102"/>
    </row>
    <row r="1340" spans="14:49">
      <c r="N1340" s="101"/>
      <c r="AN1340" s="102"/>
      <c r="AO1340" s="103"/>
      <c r="AP1340" s="104"/>
      <c r="AR1340" s="104"/>
      <c r="AS1340" s="43"/>
      <c r="AT1340" s="104"/>
      <c r="AV1340" s="104"/>
      <c r="AW1340" s="102"/>
    </row>
    <row r="1341" spans="14:49">
      <c r="N1341" s="101"/>
      <c r="AN1341" s="102"/>
      <c r="AO1341" s="103"/>
      <c r="AP1341" s="104"/>
      <c r="AR1341" s="104"/>
      <c r="AS1341" s="43"/>
      <c r="AT1341" s="104"/>
      <c r="AV1341" s="104"/>
      <c r="AW1341" s="102"/>
    </row>
    <row r="1342" spans="14:49">
      <c r="N1342" s="101"/>
      <c r="AN1342" s="102"/>
      <c r="AO1342" s="103"/>
      <c r="AP1342" s="104"/>
      <c r="AR1342" s="104"/>
      <c r="AS1342" s="43"/>
      <c r="AT1342" s="104"/>
      <c r="AV1342" s="104"/>
      <c r="AW1342" s="102"/>
    </row>
    <row r="1343" spans="14:49">
      <c r="N1343" s="101"/>
      <c r="AN1343" s="102"/>
      <c r="AO1343" s="103"/>
      <c r="AP1343" s="104"/>
      <c r="AR1343" s="104"/>
      <c r="AS1343" s="43"/>
      <c r="AT1343" s="104"/>
      <c r="AV1343" s="104"/>
      <c r="AW1343" s="102"/>
    </row>
    <row r="1344" spans="14:49">
      <c r="N1344" s="101"/>
      <c r="AN1344" s="102"/>
      <c r="AO1344" s="103"/>
      <c r="AP1344" s="104"/>
      <c r="AR1344" s="104"/>
      <c r="AS1344" s="43"/>
      <c r="AT1344" s="104"/>
      <c r="AV1344" s="104"/>
      <c r="AW1344" s="102"/>
    </row>
    <row r="1345" spans="14:49">
      <c r="N1345" s="101"/>
      <c r="AN1345" s="102"/>
      <c r="AO1345" s="103"/>
      <c r="AP1345" s="104"/>
      <c r="AR1345" s="104"/>
      <c r="AS1345" s="43"/>
      <c r="AT1345" s="104"/>
      <c r="AV1345" s="104"/>
      <c r="AW1345" s="102"/>
    </row>
    <row r="1346" spans="14:49">
      <c r="N1346" s="101"/>
      <c r="AN1346" s="102"/>
      <c r="AO1346" s="103"/>
      <c r="AP1346" s="104"/>
      <c r="AR1346" s="104"/>
      <c r="AS1346" s="43"/>
      <c r="AT1346" s="104"/>
      <c r="AV1346" s="104"/>
      <c r="AW1346" s="102"/>
    </row>
    <row r="1347" spans="14:49">
      <c r="N1347" s="101"/>
      <c r="AN1347" s="102"/>
      <c r="AO1347" s="103"/>
      <c r="AP1347" s="104"/>
      <c r="AR1347" s="104"/>
      <c r="AS1347" s="43"/>
      <c r="AT1347" s="104"/>
      <c r="AV1347" s="104"/>
      <c r="AW1347" s="102"/>
    </row>
    <row r="1348" spans="14:49">
      <c r="N1348" s="101"/>
      <c r="AN1348" s="102"/>
      <c r="AO1348" s="103"/>
      <c r="AP1348" s="104"/>
      <c r="AR1348" s="104"/>
      <c r="AS1348" s="43"/>
      <c r="AT1348" s="104"/>
      <c r="AV1348" s="104"/>
      <c r="AW1348" s="102"/>
    </row>
    <row r="1349" spans="14:49">
      <c r="N1349" s="101"/>
      <c r="AN1349" s="102"/>
      <c r="AO1349" s="103"/>
      <c r="AP1349" s="104"/>
      <c r="AR1349" s="104"/>
      <c r="AS1349" s="43"/>
      <c r="AT1349" s="104"/>
      <c r="AV1349" s="104"/>
      <c r="AW1349" s="102"/>
    </row>
    <row r="1350" spans="14:49">
      <c r="N1350" s="101"/>
      <c r="AN1350" s="102"/>
      <c r="AO1350" s="103"/>
      <c r="AP1350" s="104"/>
      <c r="AR1350" s="104"/>
      <c r="AS1350" s="43"/>
      <c r="AT1350" s="104"/>
      <c r="AV1350" s="104"/>
      <c r="AW1350" s="102"/>
    </row>
    <row r="1351" spans="14:49">
      <c r="N1351" s="101"/>
      <c r="AN1351" s="102"/>
      <c r="AO1351" s="103"/>
      <c r="AP1351" s="104"/>
      <c r="AR1351" s="104"/>
      <c r="AS1351" s="43"/>
      <c r="AT1351" s="104"/>
      <c r="AV1351" s="104"/>
      <c r="AW1351" s="102"/>
    </row>
    <row r="1352" spans="14:49">
      <c r="N1352" s="101"/>
      <c r="AN1352" s="102"/>
      <c r="AO1352" s="103"/>
      <c r="AP1352" s="104"/>
      <c r="AR1352" s="104"/>
      <c r="AS1352" s="43"/>
      <c r="AT1352" s="104"/>
      <c r="AV1352" s="104"/>
      <c r="AW1352" s="102"/>
    </row>
    <row r="1353" spans="14:49">
      <c r="N1353" s="101"/>
      <c r="AN1353" s="102"/>
      <c r="AO1353" s="103"/>
      <c r="AP1353" s="104"/>
      <c r="AR1353" s="104"/>
      <c r="AS1353" s="43"/>
      <c r="AT1353" s="104"/>
      <c r="AV1353" s="104"/>
      <c r="AW1353" s="102"/>
    </row>
  </sheetData>
  <sheetProtection formatCells="0" formatColumns="0" formatRows="0" insertRows="0" insertColumns="0" insertHyperlinks="0" deleteColumns="0" deleteRows="0" sort="0" autoFilter="0" pivotTables="0"/>
  <sortState ref="AV2:AW1353">
    <sortCondition ref="AV1" descending="1"/>
  </sortState>
  <conditionalFormatting sqref="B3:B42">
    <cfRule type="colorScale" priority="8">
      <colorScale>
        <cfvo type="min"/>
        <cfvo type="percentile" val="50"/>
        <cfvo type="max"/>
        <color rgb="FFF9686A"/>
        <color rgb="FFEDC97E"/>
        <color rgb="FF62BF7A"/>
      </colorScale>
    </cfRule>
  </conditionalFormatting>
  <conditionalFormatting sqref="P2:P1048576">
    <cfRule type="colorScale" priority="7">
      <colorScale>
        <cfvo type="min"/>
        <cfvo type="percentile" val="50"/>
        <cfvo type="max"/>
        <color rgb="FF62BF7A"/>
        <color rgb="FFFFEB85"/>
        <color rgb="FFF9686A"/>
      </colorScale>
    </cfRule>
  </conditionalFormatting>
  <conditionalFormatting sqref="Y2:Y1048576">
    <cfRule type="colorScale" priority="5">
      <colorScale>
        <cfvo type="min"/>
        <cfvo type="percentile" val="50"/>
        <cfvo type="max"/>
        <color rgb="FF62BF7A"/>
        <color rgb="FFFFEB85"/>
        <color rgb="FFF9686A"/>
      </colorScale>
    </cfRule>
  </conditionalFormatting>
  <conditionalFormatting sqref="Z2:Z1048576">
    <cfRule type="colorScale" priority="3">
      <colorScale>
        <cfvo type="min"/>
        <cfvo type="percentile" val="50"/>
        <cfvo type="max"/>
        <color rgb="FF62BF7A"/>
        <color rgb="FFFFEB85"/>
        <color rgb="FFF9686A"/>
      </colorScale>
    </cfRule>
  </conditionalFormatting>
  <conditionalFormatting sqref="AA2:AA1048576">
    <cfRule type="colorScale" priority="2">
      <colorScale>
        <cfvo type="min"/>
        <cfvo type="percentile" val="50"/>
        <cfvo type="max"/>
        <color rgb="FF62BF7A"/>
        <color rgb="FFFFEB85"/>
        <color rgb="FFF9686A"/>
      </colorScale>
    </cfRule>
  </conditionalFormatting>
  <conditionalFormatting sqref="AB2:AB1048576">
    <cfRule type="colorScale" priority="1">
      <colorScale>
        <cfvo type="min"/>
        <cfvo type="percentile" val="50"/>
        <cfvo type="max"/>
        <color rgb="FF62BF7A"/>
        <color rgb="FFFFEB85"/>
        <color rgb="FFF9686A"/>
      </colorScale>
    </cfRule>
  </conditionalFormatting>
  <conditionalFormatting sqref="L2:O1048576">
    <cfRule type="colorScale" priority="6">
      <colorScale>
        <cfvo type="min"/>
        <cfvo type="percentile" val="50"/>
        <cfvo type="max"/>
        <color rgb="FF62BF7A"/>
        <color rgb="FFFFEB85"/>
        <color rgb="FFF9686A"/>
      </colorScale>
    </cfRule>
  </conditionalFormatting>
  <conditionalFormatting sqref="AC2:AD1048576">
    <cfRule type="colorScale" priority="4">
      <colorScale>
        <cfvo type="min"/>
        <cfvo type="percentile" val="50"/>
        <cfvo type="max"/>
        <color rgb="FF62BF7A"/>
        <color rgb="FFFFEB85"/>
        <color rgb="FFF9686A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53"/>
  <sheetViews>
    <sheetView workbookViewId="0">
      <pane xSplit="2" topLeftCell="C1" activePane="topRight" state="frozen"/>
      <selection/>
      <selection pane="topRight" activeCell="B1" sqref="B1"/>
    </sheetView>
  </sheetViews>
  <sheetFormatPr defaultColWidth="9" defaultRowHeight="14"/>
  <cols>
    <col min="1" max="1" width="11.3818181818182" style="1" customWidth="1"/>
    <col min="2" max="2" width="13" style="2" customWidth="1"/>
    <col min="3" max="3" width="9" style="3"/>
    <col min="4" max="4" width="12.6272727272727" style="4"/>
    <col min="5" max="7" width="9" style="3"/>
    <col min="8" max="8" width="11.2545454545455" style="3" customWidth="1"/>
    <col min="9" max="10" width="9" style="3"/>
    <col min="11" max="11" width="9" style="5"/>
    <col min="12" max="16384" width="9" style="3"/>
  </cols>
  <sheetData>
    <row r="1" ht="28" spans="1:14">
      <c r="A1" s="6" t="s">
        <v>678</v>
      </c>
      <c r="B1" s="7" t="s">
        <v>745</v>
      </c>
      <c r="C1" s="8" t="s">
        <v>746</v>
      </c>
      <c r="D1" s="9"/>
      <c r="E1" s="8"/>
      <c r="F1" s="8" t="s">
        <v>747</v>
      </c>
      <c r="G1" s="8"/>
      <c r="H1" s="8" t="s">
        <v>748</v>
      </c>
      <c r="I1" s="8"/>
      <c r="J1" s="8" t="s">
        <v>749</v>
      </c>
      <c r="K1" s="10"/>
      <c r="L1" s="8" t="s">
        <v>750</v>
      </c>
      <c r="M1" s="8"/>
      <c r="N1" s="8"/>
    </row>
    <row r="2" ht="112" spans="1:14">
      <c r="A2" s="11"/>
      <c r="B2" s="7"/>
      <c r="C2" s="8" t="s">
        <v>751</v>
      </c>
      <c r="D2" s="9" t="s">
        <v>752</v>
      </c>
      <c r="E2" s="8" t="s">
        <v>753</v>
      </c>
      <c r="F2" s="8" t="s">
        <v>754</v>
      </c>
      <c r="G2" s="12" t="s">
        <v>755</v>
      </c>
      <c r="H2" s="8" t="s">
        <v>756</v>
      </c>
      <c r="I2" s="13" t="s">
        <v>757</v>
      </c>
      <c r="J2" s="13" t="s">
        <v>758</v>
      </c>
      <c r="K2" s="10" t="s">
        <v>759</v>
      </c>
      <c r="L2" s="8" t="s">
        <v>760</v>
      </c>
      <c r="M2" s="8" t="s">
        <v>761</v>
      </c>
      <c r="N2" s="12" t="s">
        <v>762</v>
      </c>
    </row>
    <row r="3" ht="409.5" spans="1:14">
      <c r="A3" s="11" t="s">
        <v>700</v>
      </c>
      <c r="B3" s="7" t="s">
        <v>290</v>
      </c>
      <c r="C3" s="14">
        <v>7925</v>
      </c>
      <c r="D3" s="15">
        <v>0.0450107628259376</v>
      </c>
      <c r="E3" s="12"/>
      <c r="F3" s="16">
        <v>99.86</v>
      </c>
      <c r="G3" s="17">
        <v>2424</v>
      </c>
      <c r="H3" s="8" t="s">
        <v>763</v>
      </c>
      <c r="I3" s="8" t="s">
        <v>764</v>
      </c>
      <c r="J3" s="12"/>
      <c r="K3" s="7">
        <v>1</v>
      </c>
      <c r="L3" s="12">
        <v>5</v>
      </c>
      <c r="M3" s="12">
        <v>1</v>
      </c>
      <c r="N3" s="12"/>
    </row>
    <row r="4" ht="126" spans="1:14">
      <c r="A4" s="11" t="s">
        <v>701</v>
      </c>
      <c r="B4" s="7" t="s">
        <v>297</v>
      </c>
      <c r="C4" s="14">
        <v>1343</v>
      </c>
      <c r="D4" s="15">
        <v>0.0382501210446868</v>
      </c>
      <c r="E4" s="12"/>
      <c r="F4" s="16">
        <v>100</v>
      </c>
      <c r="G4" s="17">
        <v>683</v>
      </c>
      <c r="H4" s="8" t="s">
        <v>765</v>
      </c>
      <c r="I4" s="8" t="s">
        <v>766</v>
      </c>
      <c r="J4" s="12"/>
      <c r="K4" s="7">
        <v>1</v>
      </c>
      <c r="L4" s="12">
        <v>5</v>
      </c>
      <c r="M4" s="12"/>
      <c r="N4" s="12"/>
    </row>
    <row r="5" spans="1:14">
      <c r="A5" s="11" t="s">
        <v>703</v>
      </c>
      <c r="B5" s="7" t="s">
        <v>303</v>
      </c>
      <c r="C5" s="14">
        <v>632</v>
      </c>
      <c r="D5" s="15">
        <v>0.0306632380767551</v>
      </c>
      <c r="E5" s="12"/>
      <c r="F5" s="16">
        <v>98.98</v>
      </c>
      <c r="G5" s="17">
        <v>61</v>
      </c>
      <c r="H5" s="12"/>
      <c r="I5" s="12"/>
      <c r="J5" s="12"/>
      <c r="K5" s="7">
        <v>1</v>
      </c>
      <c r="L5" s="12">
        <v>5</v>
      </c>
      <c r="M5" s="12">
        <v>1</v>
      </c>
      <c r="N5" s="12"/>
    </row>
    <row r="6" spans="1:14">
      <c r="A6" s="11" t="s">
        <v>706</v>
      </c>
      <c r="B6" s="7" t="s">
        <v>307</v>
      </c>
      <c r="C6" s="14">
        <v>1767</v>
      </c>
      <c r="D6" s="15">
        <v>0.0393585031740728</v>
      </c>
      <c r="E6" s="12"/>
      <c r="F6" s="16">
        <v>93.84</v>
      </c>
      <c r="G6" s="17">
        <v>39</v>
      </c>
      <c r="H6" s="12"/>
      <c r="I6" s="12"/>
      <c r="J6" s="12"/>
      <c r="K6" s="7">
        <v>0</v>
      </c>
      <c r="L6" s="12">
        <v>4</v>
      </c>
      <c r="M6" s="12"/>
      <c r="N6" s="12"/>
    </row>
    <row r="7" ht="42" spans="1:14">
      <c r="A7" s="11" t="s">
        <v>707</v>
      </c>
      <c r="B7" s="7" t="s">
        <v>311</v>
      </c>
      <c r="C7" s="14">
        <v>538</v>
      </c>
      <c r="D7" s="15">
        <v>0.0261851455271099</v>
      </c>
      <c r="E7" s="12"/>
      <c r="F7" s="16">
        <v>97.58</v>
      </c>
      <c r="G7" s="17">
        <v>61</v>
      </c>
      <c r="H7" s="8" t="s">
        <v>767</v>
      </c>
      <c r="I7" s="8" t="s">
        <v>768</v>
      </c>
      <c r="J7" s="12"/>
      <c r="K7" s="7">
        <v>1</v>
      </c>
      <c r="L7" s="12">
        <v>5</v>
      </c>
      <c r="M7" s="12"/>
      <c r="N7" s="12"/>
    </row>
    <row r="8" ht="168" spans="1:14">
      <c r="A8" s="11" t="s">
        <v>709</v>
      </c>
      <c r="B8" s="7" t="s">
        <v>315</v>
      </c>
      <c r="C8" s="14">
        <v>1050</v>
      </c>
      <c r="D8" s="15">
        <v>0.042294368806896</v>
      </c>
      <c r="E8" s="12"/>
      <c r="F8" s="16">
        <v>76.5</v>
      </c>
      <c r="G8" s="17">
        <v>183</v>
      </c>
      <c r="H8" s="12"/>
      <c r="I8" s="18" t="s">
        <v>769</v>
      </c>
      <c r="J8" s="12"/>
      <c r="K8" s="7">
        <v>1</v>
      </c>
      <c r="L8" s="12">
        <v>4</v>
      </c>
      <c r="M8" s="12">
        <v>1</v>
      </c>
      <c r="N8" s="12"/>
    </row>
    <row r="9" spans="1:14">
      <c r="A9" s="11" t="s">
        <v>710</v>
      </c>
      <c r="B9" s="7" t="s">
        <v>319</v>
      </c>
      <c r="C9" s="14">
        <v>810</v>
      </c>
      <c r="D9" s="15">
        <v>0.0447984071677451</v>
      </c>
      <c r="E9" s="12"/>
      <c r="F9" s="16">
        <v>100</v>
      </c>
      <c r="G9" s="17">
        <v>51</v>
      </c>
      <c r="H9" s="12"/>
      <c r="I9" s="12"/>
      <c r="J9" s="12"/>
      <c r="K9" s="7">
        <v>0</v>
      </c>
      <c r="L9" s="12">
        <v>3</v>
      </c>
      <c r="M9" s="12"/>
      <c r="N9" s="12"/>
    </row>
    <row r="10" ht="56" spans="1:14">
      <c r="A10" s="11" t="s">
        <v>702</v>
      </c>
      <c r="B10" s="7" t="s">
        <v>323</v>
      </c>
      <c r="C10" s="14">
        <v>8738</v>
      </c>
      <c r="D10" s="15">
        <v>0.0567948417960118</v>
      </c>
      <c r="E10" s="12"/>
      <c r="F10" s="16">
        <v>91.64</v>
      </c>
      <c r="G10" s="17">
        <v>381</v>
      </c>
      <c r="H10" s="8" t="s">
        <v>770</v>
      </c>
      <c r="I10" s="12"/>
      <c r="J10" s="12"/>
      <c r="K10" s="7">
        <v>0</v>
      </c>
      <c r="L10" s="12">
        <v>2</v>
      </c>
      <c r="M10" s="12">
        <v>1</v>
      </c>
      <c r="N10" s="12"/>
    </row>
    <row r="11" ht="28" spans="1:14">
      <c r="A11" s="11" t="s">
        <v>713</v>
      </c>
      <c r="B11" s="7" t="s">
        <v>329</v>
      </c>
      <c r="C11" s="14">
        <v>84</v>
      </c>
      <c r="D11" s="15">
        <v>0.0376850605652759</v>
      </c>
      <c r="E11" s="12"/>
      <c r="F11" s="16">
        <v>92.13</v>
      </c>
      <c r="G11" s="17">
        <v>79</v>
      </c>
      <c r="H11" s="12"/>
      <c r="I11" s="12"/>
      <c r="J11" s="12"/>
      <c r="K11" s="7">
        <v>0</v>
      </c>
      <c r="L11" s="12">
        <v>0</v>
      </c>
      <c r="M11" s="12"/>
      <c r="N11" s="12"/>
    </row>
    <row r="12" spans="1:14">
      <c r="A12" s="11" t="s">
        <v>714</v>
      </c>
      <c r="B12" s="7" t="s">
        <v>335</v>
      </c>
      <c r="C12" s="14">
        <v>840</v>
      </c>
      <c r="D12" s="15">
        <v>0.050853614239012</v>
      </c>
      <c r="E12" s="12"/>
      <c r="F12" s="16">
        <v>98.49</v>
      </c>
      <c r="G12" s="17">
        <v>427</v>
      </c>
      <c r="H12" s="12"/>
      <c r="I12" s="12"/>
      <c r="J12" s="12"/>
      <c r="K12" s="7">
        <v>1</v>
      </c>
      <c r="L12" s="12">
        <v>2</v>
      </c>
      <c r="M12" s="12"/>
      <c r="N12" s="12"/>
    </row>
    <row r="13" spans="1:14">
      <c r="A13" s="11" t="s">
        <v>716</v>
      </c>
      <c r="B13" s="7" t="s">
        <v>341</v>
      </c>
      <c r="C13" s="14">
        <v>195</v>
      </c>
      <c r="D13" s="15">
        <v>0.0233700862895494</v>
      </c>
      <c r="E13" s="12"/>
      <c r="F13" s="16">
        <v>93.65</v>
      </c>
      <c r="G13" s="17">
        <v>19</v>
      </c>
      <c r="H13" s="12"/>
      <c r="I13" s="12"/>
      <c r="J13" s="12"/>
      <c r="K13" s="7">
        <v>0</v>
      </c>
      <c r="L13" s="12">
        <v>1</v>
      </c>
      <c r="M13" s="12"/>
      <c r="N13" s="12"/>
    </row>
    <row r="14" spans="1:14">
      <c r="A14" s="11" t="s">
        <v>719</v>
      </c>
      <c r="B14" s="7" t="s">
        <v>345</v>
      </c>
      <c r="C14" s="14">
        <v>27</v>
      </c>
      <c r="D14" s="15">
        <v>0.0272452068617558</v>
      </c>
      <c r="E14" s="12"/>
      <c r="F14" s="16">
        <v>86.25</v>
      </c>
      <c r="G14" s="17">
        <v>19</v>
      </c>
      <c r="H14" s="12"/>
      <c r="I14" s="12"/>
      <c r="J14" s="12"/>
      <c r="K14" s="7">
        <v>0</v>
      </c>
      <c r="L14" s="12">
        <v>0</v>
      </c>
      <c r="M14" s="12"/>
      <c r="N14" s="12"/>
    </row>
    <row r="15" spans="1:14">
      <c r="A15" s="11" t="s">
        <v>721</v>
      </c>
      <c r="B15" s="7" t="s">
        <v>350</v>
      </c>
      <c r="C15" s="14">
        <v>175</v>
      </c>
      <c r="D15" s="15">
        <v>0.0673076923076923</v>
      </c>
      <c r="E15" s="12"/>
      <c r="F15" s="16">
        <v>100</v>
      </c>
      <c r="G15" s="17">
        <v>5</v>
      </c>
      <c r="H15" s="12"/>
      <c r="I15" s="12"/>
      <c r="J15" s="12"/>
      <c r="K15" s="7">
        <v>1</v>
      </c>
      <c r="L15" s="12">
        <v>2</v>
      </c>
      <c r="M15" s="12"/>
      <c r="N15" s="12"/>
    </row>
    <row r="16" ht="168" spans="1:14">
      <c r="A16" s="11" t="s">
        <v>722</v>
      </c>
      <c r="B16" s="7" t="s">
        <v>355</v>
      </c>
      <c r="C16" s="14">
        <v>6</v>
      </c>
      <c r="D16" s="15">
        <v>0.0146699266503667</v>
      </c>
      <c r="E16" s="12"/>
      <c r="F16" s="16">
        <v>51.51</v>
      </c>
      <c r="G16" s="17">
        <v>4</v>
      </c>
      <c r="H16" s="8" t="s">
        <v>771</v>
      </c>
      <c r="I16" s="8" t="s">
        <v>772</v>
      </c>
      <c r="J16" s="12"/>
      <c r="K16" s="7">
        <v>0</v>
      </c>
      <c r="L16" s="12">
        <v>0</v>
      </c>
      <c r="M16" s="12"/>
      <c r="N16" s="12"/>
    </row>
    <row r="17" spans="1:14">
      <c r="A17" s="11" t="s">
        <v>723</v>
      </c>
      <c r="B17" s="7" t="s">
        <v>359</v>
      </c>
      <c r="C17" s="14">
        <v>1200</v>
      </c>
      <c r="D17" s="15">
        <v>0.0670428515559528</v>
      </c>
      <c r="E17" s="12"/>
      <c r="F17" s="16">
        <v>96.24</v>
      </c>
      <c r="G17" s="17">
        <v>180</v>
      </c>
      <c r="H17" s="12"/>
      <c r="I17" s="12"/>
      <c r="J17" s="12"/>
      <c r="K17" s="7">
        <v>0</v>
      </c>
      <c r="L17" s="12">
        <v>3</v>
      </c>
      <c r="M17" s="12"/>
      <c r="N17" s="12"/>
    </row>
    <row r="18" ht="56" spans="1:14">
      <c r="A18" s="11" t="s">
        <v>704</v>
      </c>
      <c r="B18" s="7" t="s">
        <v>363</v>
      </c>
      <c r="C18" s="14">
        <v>737</v>
      </c>
      <c r="D18" s="15">
        <v>0.0565921830607387</v>
      </c>
      <c r="E18" s="12"/>
      <c r="F18" s="16">
        <v>100</v>
      </c>
      <c r="G18" s="17">
        <v>76</v>
      </c>
      <c r="H18" s="8" t="s">
        <v>767</v>
      </c>
      <c r="I18" s="8" t="s">
        <v>773</v>
      </c>
      <c r="J18" s="12"/>
      <c r="K18" s="7">
        <v>1</v>
      </c>
      <c r="L18" s="12">
        <v>5</v>
      </c>
      <c r="M18" s="12">
        <v>1</v>
      </c>
      <c r="N18" s="12"/>
    </row>
    <row r="19" spans="1:14">
      <c r="A19" s="11" t="s">
        <v>725</v>
      </c>
      <c r="B19" s="7" t="s">
        <v>369</v>
      </c>
      <c r="C19" s="14">
        <v>47</v>
      </c>
      <c r="D19" s="15">
        <v>0.0217190388170055</v>
      </c>
      <c r="E19" s="12"/>
      <c r="F19" s="16">
        <v>85.77</v>
      </c>
      <c r="G19" s="17">
        <v>10</v>
      </c>
      <c r="H19" s="12"/>
      <c r="I19" s="12"/>
      <c r="J19" s="12"/>
      <c r="K19" s="7">
        <v>0</v>
      </c>
      <c r="L19" s="12">
        <v>1</v>
      </c>
      <c r="M19" s="12"/>
      <c r="N19" s="12"/>
    </row>
    <row r="20" spans="1:14">
      <c r="A20" s="11" t="s">
        <v>726</v>
      </c>
      <c r="B20" s="7" t="s">
        <v>373</v>
      </c>
      <c r="C20" s="14">
        <v>120</v>
      </c>
      <c r="D20" s="15">
        <v>0.0601805416248746</v>
      </c>
      <c r="E20" s="12"/>
      <c r="F20" s="16">
        <v>100</v>
      </c>
      <c r="G20" s="17">
        <v>4</v>
      </c>
      <c r="H20" s="12"/>
      <c r="I20" s="12"/>
      <c r="J20" s="12"/>
      <c r="K20" s="7">
        <v>0</v>
      </c>
      <c r="L20" s="12">
        <v>2</v>
      </c>
      <c r="M20" s="12"/>
      <c r="N20" s="12"/>
    </row>
    <row r="21" spans="1:14">
      <c r="A21" s="11" t="s">
        <v>728</v>
      </c>
      <c r="B21" s="7" t="s">
        <v>377</v>
      </c>
      <c r="C21" s="14">
        <v>4</v>
      </c>
      <c r="D21" s="15">
        <v>0.00746268656716418</v>
      </c>
      <c r="E21" s="12"/>
      <c r="F21" s="16">
        <v>100</v>
      </c>
      <c r="G21" s="17">
        <v>15</v>
      </c>
      <c r="H21" s="12"/>
      <c r="I21" s="12"/>
      <c r="J21" s="12"/>
      <c r="K21" s="7">
        <v>0</v>
      </c>
      <c r="L21" s="12">
        <v>2</v>
      </c>
      <c r="M21" s="12"/>
      <c r="N21" s="12"/>
    </row>
    <row r="22" ht="28" spans="1:14">
      <c r="A22" s="11" t="s">
        <v>730</v>
      </c>
      <c r="B22" s="7" t="s">
        <v>381</v>
      </c>
      <c r="C22" s="14">
        <v>154</v>
      </c>
      <c r="D22" s="15">
        <v>0.0827067669172932</v>
      </c>
      <c r="E22" s="12"/>
      <c r="F22" s="16">
        <v>100</v>
      </c>
      <c r="G22" s="17">
        <v>19</v>
      </c>
      <c r="H22" s="12"/>
      <c r="I22" s="12"/>
      <c r="J22" s="12"/>
      <c r="K22" s="7">
        <v>1</v>
      </c>
      <c r="L22" s="12">
        <v>2</v>
      </c>
      <c r="M22" s="12">
        <v>1</v>
      </c>
      <c r="N22" s="12"/>
    </row>
    <row r="23" spans="1:14">
      <c r="A23" s="11" t="s">
        <v>708</v>
      </c>
      <c r="B23" s="7" t="s">
        <v>386</v>
      </c>
      <c r="C23" s="14">
        <v>667</v>
      </c>
      <c r="D23" s="15">
        <v>0.0813513843151604</v>
      </c>
      <c r="E23" s="12"/>
      <c r="F23" s="16">
        <v>99.86</v>
      </c>
      <c r="G23" s="17">
        <v>55</v>
      </c>
      <c r="H23" s="12"/>
      <c r="I23" s="12"/>
      <c r="J23" s="12"/>
      <c r="K23" s="7">
        <v>1</v>
      </c>
      <c r="L23" s="12">
        <v>5</v>
      </c>
      <c r="M23" s="12"/>
      <c r="N23" s="12"/>
    </row>
    <row r="24" spans="1:14">
      <c r="A24" s="11" t="s">
        <v>731</v>
      </c>
      <c r="B24" s="7" t="s">
        <v>390</v>
      </c>
      <c r="C24" s="14">
        <v>66</v>
      </c>
      <c r="D24" s="15">
        <v>0.025631067961165</v>
      </c>
      <c r="E24" s="12"/>
      <c r="F24" s="16">
        <v>82.63</v>
      </c>
      <c r="G24" s="17">
        <v>47</v>
      </c>
      <c r="H24" s="12"/>
      <c r="I24" s="12"/>
      <c r="J24" s="12"/>
      <c r="K24" s="7">
        <v>0</v>
      </c>
      <c r="L24" s="12">
        <v>1</v>
      </c>
      <c r="M24" s="12"/>
      <c r="N24" s="12"/>
    </row>
    <row r="25" spans="1:14">
      <c r="A25" s="11" t="s">
        <v>720</v>
      </c>
      <c r="B25" s="7" t="s">
        <v>394</v>
      </c>
      <c r="C25" s="14">
        <v>321</v>
      </c>
      <c r="D25" s="15">
        <v>0.0328960852633736</v>
      </c>
      <c r="E25" s="12"/>
      <c r="F25" s="16">
        <v>99.22</v>
      </c>
      <c r="G25" s="17">
        <v>22</v>
      </c>
      <c r="H25" s="12"/>
      <c r="I25" s="12"/>
      <c r="J25" s="12"/>
      <c r="K25" s="7">
        <v>1</v>
      </c>
      <c r="L25" s="12">
        <v>4</v>
      </c>
      <c r="M25" s="12"/>
      <c r="N25" s="12"/>
    </row>
    <row r="26" spans="1:14">
      <c r="A26" s="11" t="s">
        <v>711</v>
      </c>
      <c r="B26" s="7" t="s">
        <v>398</v>
      </c>
      <c r="C26" s="14">
        <v>143</v>
      </c>
      <c r="D26" s="15">
        <v>0.031387181738367</v>
      </c>
      <c r="E26" s="12"/>
      <c r="F26" s="16">
        <v>100</v>
      </c>
      <c r="G26" s="17">
        <v>8</v>
      </c>
      <c r="H26" s="12"/>
      <c r="I26" s="12"/>
      <c r="J26" s="12"/>
      <c r="K26" s="7">
        <v>0</v>
      </c>
      <c r="L26" s="12">
        <v>0</v>
      </c>
      <c r="M26" s="12"/>
      <c r="N26" s="12"/>
    </row>
    <row r="27" spans="1:14">
      <c r="A27" s="11" t="s">
        <v>729</v>
      </c>
      <c r="B27" s="7" t="s">
        <v>402</v>
      </c>
      <c r="C27" s="14">
        <v>384</v>
      </c>
      <c r="D27" s="15">
        <v>0.026795059660875</v>
      </c>
      <c r="E27" s="12"/>
      <c r="F27" s="16">
        <v>99.74</v>
      </c>
      <c r="G27" s="17">
        <v>32</v>
      </c>
      <c r="H27" s="12"/>
      <c r="I27" s="12"/>
      <c r="J27" s="12"/>
      <c r="K27" s="7">
        <v>0</v>
      </c>
      <c r="L27" s="12">
        <v>2</v>
      </c>
      <c r="M27" s="12"/>
      <c r="N27" s="12"/>
    </row>
    <row r="28" spans="1:14">
      <c r="A28" s="11" t="s">
        <v>734</v>
      </c>
      <c r="B28" s="7" t="s">
        <v>406</v>
      </c>
      <c r="C28" s="14">
        <v>181</v>
      </c>
      <c r="D28" s="15">
        <v>0.031083633865705</v>
      </c>
      <c r="E28" s="12"/>
      <c r="F28" s="16">
        <v>99.72</v>
      </c>
      <c r="G28" s="17">
        <v>3</v>
      </c>
      <c r="H28" s="12"/>
      <c r="I28" s="12"/>
      <c r="J28" s="12"/>
      <c r="K28" s="7">
        <v>0</v>
      </c>
      <c r="L28" s="12">
        <v>0</v>
      </c>
      <c r="M28" s="12"/>
      <c r="N28" s="12"/>
    </row>
    <row r="29" spans="1:14">
      <c r="A29" s="11" t="s">
        <v>735</v>
      </c>
      <c r="B29" s="7" t="s">
        <v>410</v>
      </c>
      <c r="C29" s="14">
        <v>162</v>
      </c>
      <c r="D29" s="15">
        <v>0.0302803738317757</v>
      </c>
      <c r="E29" s="12"/>
      <c r="F29" s="16">
        <v>93.6</v>
      </c>
      <c r="G29" s="17">
        <v>50</v>
      </c>
      <c r="H29" s="12"/>
      <c r="I29" s="12"/>
      <c r="J29" s="12"/>
      <c r="K29" s="7">
        <v>0</v>
      </c>
      <c r="L29" s="12">
        <v>2</v>
      </c>
      <c r="M29" s="12"/>
      <c r="N29" s="12"/>
    </row>
    <row r="30" spans="1:14">
      <c r="A30" s="11" t="s">
        <v>736</v>
      </c>
      <c r="B30" s="7" t="s">
        <v>414</v>
      </c>
      <c r="C30" s="14">
        <v>112</v>
      </c>
      <c r="D30" s="15">
        <v>0.0225760935295303</v>
      </c>
      <c r="E30" s="12"/>
      <c r="F30" s="16">
        <v>96.81</v>
      </c>
      <c r="G30" s="17">
        <v>32</v>
      </c>
      <c r="H30" s="12"/>
      <c r="I30" s="12"/>
      <c r="J30" s="12"/>
      <c r="K30" s="7">
        <v>0</v>
      </c>
      <c r="L30" s="12">
        <v>0</v>
      </c>
      <c r="M30" s="12"/>
      <c r="N30" s="12"/>
    </row>
    <row r="31" spans="1:14">
      <c r="A31" s="11" t="s">
        <v>738</v>
      </c>
      <c r="B31" s="7" t="s">
        <v>418</v>
      </c>
      <c r="C31" s="14">
        <v>20</v>
      </c>
      <c r="D31" s="15">
        <v>0.0260416666666667</v>
      </c>
      <c r="E31" s="12"/>
      <c r="F31" s="16">
        <v>69.35</v>
      </c>
      <c r="G31" s="17">
        <v>1</v>
      </c>
      <c r="H31" s="12"/>
      <c r="I31" s="12"/>
      <c r="J31" s="12"/>
      <c r="K31" s="7">
        <v>0</v>
      </c>
      <c r="L31" s="12">
        <v>2</v>
      </c>
      <c r="M31" s="12"/>
      <c r="N31" s="12"/>
    </row>
    <row r="32" spans="1:14">
      <c r="A32" s="11" t="s">
        <v>739</v>
      </c>
      <c r="B32" s="7" t="s">
        <v>422</v>
      </c>
      <c r="C32" s="14">
        <v>26</v>
      </c>
      <c r="D32" s="15">
        <v>0.044750430292599</v>
      </c>
      <c r="E32" s="12"/>
      <c r="F32" s="16">
        <v>68.91</v>
      </c>
      <c r="G32" s="17">
        <v>1</v>
      </c>
      <c r="H32" s="12"/>
      <c r="I32" s="12"/>
      <c r="J32" s="12"/>
      <c r="K32" s="7">
        <v>0</v>
      </c>
      <c r="L32" s="12">
        <v>0</v>
      </c>
      <c r="M32" s="12"/>
      <c r="N32" s="12"/>
    </row>
    <row r="33" spans="1:14">
      <c r="A33" s="11" t="s">
        <v>724</v>
      </c>
      <c r="B33" s="7" t="s">
        <v>426</v>
      </c>
      <c r="C33" s="14">
        <v>134</v>
      </c>
      <c r="D33" s="15">
        <v>0.038483630097645</v>
      </c>
      <c r="E33" s="12"/>
      <c r="F33" s="16">
        <v>100</v>
      </c>
      <c r="G33" s="17">
        <v>13</v>
      </c>
      <c r="H33" s="12"/>
      <c r="I33" s="12"/>
      <c r="J33" s="12"/>
      <c r="K33" s="7">
        <v>0</v>
      </c>
      <c r="L33" s="12">
        <v>0</v>
      </c>
      <c r="M33" s="12"/>
      <c r="N33" s="12"/>
    </row>
    <row r="34" spans="1:14">
      <c r="A34" s="11" t="s">
        <v>740</v>
      </c>
      <c r="B34" s="7" t="s">
        <v>429</v>
      </c>
      <c r="C34" s="14">
        <v>22</v>
      </c>
      <c r="D34" s="15">
        <v>0.0272614622057001</v>
      </c>
      <c r="E34" s="12"/>
      <c r="F34" s="16">
        <v>88.73</v>
      </c>
      <c r="G34" s="17">
        <v>2</v>
      </c>
      <c r="H34" s="12"/>
      <c r="I34" s="12"/>
      <c r="J34" s="12"/>
      <c r="K34" s="7">
        <v>0</v>
      </c>
      <c r="L34" s="12">
        <v>0</v>
      </c>
      <c r="M34" s="12"/>
      <c r="N34" s="12"/>
    </row>
    <row r="35" spans="1:14">
      <c r="A35" s="11" t="s">
        <v>732</v>
      </c>
      <c r="B35" s="7" t="s">
        <v>433</v>
      </c>
      <c r="C35" s="14">
        <v>129</v>
      </c>
      <c r="D35" s="15">
        <v>0.0516413130504404</v>
      </c>
      <c r="E35" s="12"/>
      <c r="F35" s="16">
        <v>90.9</v>
      </c>
      <c r="G35" s="17">
        <v>38</v>
      </c>
      <c r="H35" s="12"/>
      <c r="I35" s="12"/>
      <c r="J35" s="12"/>
      <c r="K35" s="7">
        <v>0</v>
      </c>
      <c r="L35" s="12">
        <v>1</v>
      </c>
      <c r="M35" s="12"/>
      <c r="N35" s="12"/>
    </row>
    <row r="36" spans="1:14">
      <c r="A36" s="11" t="s">
        <v>715</v>
      </c>
      <c r="B36" s="7" t="s">
        <v>437</v>
      </c>
      <c r="C36" s="14">
        <v>177</v>
      </c>
      <c r="D36" s="15">
        <v>0.0733830845771144</v>
      </c>
      <c r="E36" s="12"/>
      <c r="F36" s="16">
        <v>97.01</v>
      </c>
      <c r="G36" s="17">
        <v>12</v>
      </c>
      <c r="H36" s="12"/>
      <c r="I36" s="12"/>
      <c r="J36" s="12"/>
      <c r="K36" s="7">
        <v>0</v>
      </c>
      <c r="L36" s="12">
        <v>0</v>
      </c>
      <c r="M36" s="12"/>
      <c r="N36" s="12"/>
    </row>
    <row r="37" spans="1:14">
      <c r="A37" s="11" t="s">
        <v>741</v>
      </c>
      <c r="B37" s="7" t="s">
        <v>441</v>
      </c>
      <c r="C37" s="14">
        <v>84</v>
      </c>
      <c r="D37" s="15">
        <v>0.0307129798903108</v>
      </c>
      <c r="E37" s="12"/>
      <c r="F37" s="16">
        <v>88.42</v>
      </c>
      <c r="G37" s="17">
        <v>8</v>
      </c>
      <c r="H37" s="12"/>
      <c r="I37" s="12"/>
      <c r="J37" s="12"/>
      <c r="K37" s="7">
        <v>0</v>
      </c>
      <c r="L37" s="12">
        <v>0</v>
      </c>
      <c r="M37" s="12"/>
      <c r="N37" s="12"/>
    </row>
    <row r="38" spans="1:14">
      <c r="A38" s="11" t="s">
        <v>717</v>
      </c>
      <c r="B38" s="7" t="s">
        <v>444</v>
      </c>
      <c r="C38" s="14">
        <v>274</v>
      </c>
      <c r="D38" s="15">
        <v>0.047111416781293</v>
      </c>
      <c r="E38" s="12"/>
      <c r="F38" s="16">
        <v>99.31</v>
      </c>
      <c r="G38" s="17">
        <v>14</v>
      </c>
      <c r="H38" s="12"/>
      <c r="I38" s="12"/>
      <c r="J38" s="12"/>
      <c r="K38" s="7">
        <v>0</v>
      </c>
      <c r="L38" s="12">
        <v>0</v>
      </c>
      <c r="M38" s="12"/>
      <c r="N38" s="12"/>
    </row>
    <row r="39" spans="1:14">
      <c r="A39" s="11" t="s">
        <v>727</v>
      </c>
      <c r="B39" s="7" t="s">
        <v>447</v>
      </c>
      <c r="C39" s="14">
        <v>329</v>
      </c>
      <c r="D39" s="15">
        <v>0.0392040038131554</v>
      </c>
      <c r="E39" s="12"/>
      <c r="F39" s="16">
        <v>91.26</v>
      </c>
      <c r="G39" s="17">
        <v>43</v>
      </c>
      <c r="H39" s="12"/>
      <c r="I39" s="12"/>
      <c r="J39" s="12"/>
      <c r="K39" s="7">
        <v>0</v>
      </c>
      <c r="L39" s="12">
        <v>2</v>
      </c>
      <c r="M39" s="12"/>
      <c r="N39" s="12"/>
    </row>
    <row r="40" spans="1:14">
      <c r="A40" s="11" t="s">
        <v>742</v>
      </c>
      <c r="B40" s="7" t="s">
        <v>451</v>
      </c>
      <c r="C40" s="14">
        <v>4</v>
      </c>
      <c r="D40" s="15">
        <v>0.0416666666666667</v>
      </c>
      <c r="E40" s="12"/>
      <c r="F40" s="16">
        <v>83.74</v>
      </c>
      <c r="G40" s="17">
        <v>1</v>
      </c>
      <c r="H40" s="12"/>
      <c r="I40" s="12"/>
      <c r="J40" s="12"/>
      <c r="K40" s="7">
        <v>0</v>
      </c>
      <c r="L40" s="12">
        <v>0</v>
      </c>
      <c r="M40" s="12"/>
      <c r="N40" s="12"/>
    </row>
    <row r="41" spans="1:14">
      <c r="A41" s="11" t="s">
        <v>737</v>
      </c>
      <c r="B41" s="7" t="s">
        <v>455</v>
      </c>
      <c r="C41" s="14">
        <v>9</v>
      </c>
      <c r="D41" s="15">
        <v>0.0220588235294118</v>
      </c>
      <c r="E41" s="12"/>
      <c r="F41" s="16">
        <v>99.22</v>
      </c>
      <c r="G41" s="17">
        <v>10</v>
      </c>
      <c r="H41" s="12"/>
      <c r="I41" s="12"/>
      <c r="J41" s="12"/>
      <c r="K41" s="7">
        <v>0</v>
      </c>
      <c r="L41" s="12">
        <v>0</v>
      </c>
      <c r="M41" s="12"/>
      <c r="N41" s="12"/>
    </row>
    <row r="42" spans="1:14">
      <c r="A42" s="11" t="s">
        <v>733</v>
      </c>
      <c r="B42" s="7" t="s">
        <v>459</v>
      </c>
      <c r="C42" s="14">
        <v>60</v>
      </c>
      <c r="D42" s="15">
        <v>0.0387346675274371</v>
      </c>
      <c r="E42" s="12"/>
      <c r="F42" s="16">
        <v>98.82</v>
      </c>
      <c r="G42" s="17">
        <v>21</v>
      </c>
      <c r="H42" s="12"/>
      <c r="I42" s="12"/>
      <c r="J42" s="12"/>
      <c r="K42" s="7">
        <v>0</v>
      </c>
      <c r="L42" s="12">
        <v>0</v>
      </c>
      <c r="M42" s="12"/>
      <c r="N42" s="12"/>
    </row>
    <row r="43" ht="294" spans="1:14">
      <c r="A43" s="19" t="s">
        <v>774</v>
      </c>
      <c r="B43" s="20"/>
      <c r="H43" s="21"/>
      <c r="K43" s="22" t="s">
        <v>775</v>
      </c>
      <c r="L43" s="21" t="s">
        <v>776</v>
      </c>
      <c r="M43" s="23" t="s">
        <v>777</v>
      </c>
      <c r="N43" s="21"/>
    </row>
    <row r="44" spans="1:14">
      <c r="B44" s="5"/>
    </row>
    <row r="45" spans="1:14">
      <c r="B45" s="5"/>
    </row>
    <row r="46" spans="1:14">
      <c r="B46" s="5"/>
    </row>
    <row r="47" spans="1:14">
      <c r="B47" s="5"/>
    </row>
    <row r="48" spans="1:14">
      <c r="B48" s="5"/>
    </row>
    <row r="49" spans="2:2">
      <c r="B49" s="5"/>
    </row>
    <row r="50" spans="2:2">
      <c r="B50" s="5"/>
    </row>
    <row r="51" spans="2:2">
      <c r="B51" s="5"/>
    </row>
    <row r="52" spans="2:2">
      <c r="B52" s="5"/>
    </row>
    <row r="53" spans="2:2">
      <c r="B53" s="5"/>
    </row>
    <row r="54" spans="2:2">
      <c r="B54" s="5"/>
    </row>
    <row r="55" spans="2:2">
      <c r="B55" s="5"/>
    </row>
    <row r="56" spans="2:2">
      <c r="B56" s="5"/>
    </row>
    <row r="57" spans="2:2">
      <c r="B57" s="5"/>
    </row>
    <row r="58" spans="2:2">
      <c r="B58" s="5"/>
    </row>
    <row r="59" spans="2:2">
      <c r="B59" s="5"/>
    </row>
    <row r="60" spans="2:2">
      <c r="B60" s="5"/>
    </row>
    <row r="61" spans="2:2">
      <c r="B61" s="5"/>
    </row>
    <row r="62" spans="2:2">
      <c r="B62" s="5"/>
    </row>
    <row r="63" spans="2:2">
      <c r="B63" s="5"/>
    </row>
    <row r="64" spans="2:2">
      <c r="B64" s="5"/>
    </row>
    <row r="65" spans="2:2">
      <c r="B65" s="5"/>
    </row>
    <row r="66" spans="2:2">
      <c r="B66" s="5"/>
    </row>
    <row r="67" spans="2:2">
      <c r="B67" s="5"/>
    </row>
    <row r="68" spans="2:2">
      <c r="B68" s="5"/>
    </row>
    <row r="69" spans="2:2">
      <c r="B69" s="5"/>
    </row>
    <row r="70" spans="2:2">
      <c r="B70" s="5"/>
    </row>
    <row r="71" spans="2:2">
      <c r="B71" s="5"/>
    </row>
    <row r="72" spans="2:2">
      <c r="B72" s="5"/>
    </row>
    <row r="73" spans="2:2">
      <c r="B73" s="5"/>
    </row>
    <row r="74" spans="2:2">
      <c r="B74" s="5"/>
    </row>
    <row r="75" spans="2:2">
      <c r="B75" s="5"/>
    </row>
    <row r="76" spans="2:2">
      <c r="B76" s="5"/>
    </row>
    <row r="77" spans="2:2">
      <c r="B77" s="5"/>
    </row>
    <row r="78" spans="2:2">
      <c r="B78" s="5"/>
    </row>
    <row r="79" spans="2:2">
      <c r="B79" s="5"/>
    </row>
    <row r="80" spans="2:2">
      <c r="B80" s="5"/>
    </row>
    <row r="81" spans="2:2">
      <c r="B81" s="5"/>
    </row>
    <row r="82" spans="2:2">
      <c r="B82" s="5"/>
    </row>
    <row r="83" spans="2:2">
      <c r="B83" s="5"/>
    </row>
    <row r="84" spans="2:2">
      <c r="B84" s="5"/>
    </row>
    <row r="85" spans="2:2">
      <c r="B85" s="5"/>
    </row>
    <row r="86" spans="2:2">
      <c r="B86" s="5"/>
    </row>
    <row r="87" spans="2:2">
      <c r="B87" s="5"/>
    </row>
    <row r="88" spans="2:2">
      <c r="B88" s="5"/>
    </row>
    <row r="89" spans="2:2">
      <c r="B89" s="5"/>
    </row>
    <row r="90" spans="2:2">
      <c r="B90" s="5"/>
    </row>
    <row r="91" spans="2:2">
      <c r="B91" s="5"/>
    </row>
    <row r="92" spans="2:2">
      <c r="B92" s="5"/>
    </row>
    <row r="93" spans="2:2">
      <c r="B93" s="5"/>
    </row>
    <row r="94" spans="2:2">
      <c r="B94" s="5"/>
    </row>
    <row r="95" spans="2:2">
      <c r="B95" s="5"/>
    </row>
    <row r="96" spans="2:2">
      <c r="B96" s="5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1" spans="2:2">
      <c r="B101" s="5"/>
    </row>
    <row r="102" spans="2:2">
      <c r="B102" s="5"/>
    </row>
    <row r="103" spans="2:2">
      <c r="B103" s="5"/>
    </row>
    <row r="104" spans="2:2">
      <c r="B104" s="5"/>
    </row>
    <row r="105" spans="2:2">
      <c r="B105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7" spans="2:2">
      <c r="B117" s="5"/>
    </row>
    <row r="118" spans="2:2">
      <c r="B118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  <row r="129" spans="2:2">
      <c r="B129" s="5"/>
    </row>
    <row r="130" spans="2:2">
      <c r="B130" s="5"/>
    </row>
    <row r="131" spans="2:2">
      <c r="B131" s="5"/>
    </row>
    <row r="132" spans="2:2">
      <c r="B132" s="5"/>
    </row>
    <row r="133" spans="2:2">
      <c r="B133" s="5"/>
    </row>
    <row r="134" spans="2:2">
      <c r="B134" s="5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5"/>
    </row>
    <row r="227" spans="2:2">
      <c r="B227" s="5"/>
    </row>
    <row r="228" spans="2:2">
      <c r="B228" s="5"/>
    </row>
    <row r="229" spans="2:2">
      <c r="B229" s="5"/>
    </row>
    <row r="230" spans="2:2">
      <c r="B230" s="5"/>
    </row>
    <row r="231" spans="2:2">
      <c r="B231" s="5"/>
    </row>
    <row r="232" spans="2:2">
      <c r="B232" s="5"/>
    </row>
    <row r="233" spans="2:2">
      <c r="B233" s="5"/>
    </row>
    <row r="234" spans="2:2">
      <c r="B234" s="5"/>
    </row>
    <row r="235" spans="2:2">
      <c r="B235" s="5"/>
    </row>
    <row r="236" spans="2:2">
      <c r="B236" s="5"/>
    </row>
    <row r="237" spans="2:2">
      <c r="B237" s="5"/>
    </row>
    <row r="238" spans="2:2">
      <c r="B238" s="5"/>
    </row>
    <row r="239" spans="2:2">
      <c r="B239" s="5"/>
    </row>
    <row r="240" spans="2:2">
      <c r="B240" s="5"/>
    </row>
    <row r="241" spans="2:2">
      <c r="B241" s="5"/>
    </row>
    <row r="242" spans="2:2">
      <c r="B242" s="5"/>
    </row>
    <row r="243" spans="2:2">
      <c r="B243" s="5"/>
    </row>
    <row r="244" spans="2:2">
      <c r="B244" s="5"/>
    </row>
    <row r="245" spans="2:2">
      <c r="B245" s="5"/>
    </row>
    <row r="246" spans="2:2">
      <c r="B246" s="5"/>
    </row>
    <row r="247" spans="2:2">
      <c r="B247" s="5"/>
    </row>
    <row r="248" spans="2:2">
      <c r="B248" s="5"/>
    </row>
    <row r="249" spans="2:2">
      <c r="B249" s="5"/>
    </row>
    <row r="250" spans="2:2">
      <c r="B250" s="5"/>
    </row>
    <row r="251" spans="2:2">
      <c r="B251" s="5"/>
    </row>
    <row r="252" spans="2:2">
      <c r="B252" s="5"/>
    </row>
    <row r="253" spans="2:2">
      <c r="B253" s="5"/>
    </row>
    <row r="254" spans="2:2">
      <c r="B254" s="5"/>
    </row>
    <row r="255" spans="2:2">
      <c r="B255" s="5"/>
    </row>
    <row r="256" spans="2:2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73" spans="2:2">
      <c r="B273" s="5"/>
    </row>
    <row r="274" spans="2:2">
      <c r="B274" s="5"/>
    </row>
    <row r="275" spans="2:2">
      <c r="B275" s="5"/>
    </row>
    <row r="276" spans="2:2">
      <c r="B276" s="5"/>
    </row>
    <row r="277" spans="2:2">
      <c r="B277" s="5"/>
    </row>
    <row r="278" spans="2:2">
      <c r="B278" s="5"/>
    </row>
    <row r="279" spans="2:2">
      <c r="B279" s="5"/>
    </row>
    <row r="280" spans="2:2">
      <c r="B280" s="5"/>
    </row>
    <row r="281" spans="2:2">
      <c r="B281" s="5"/>
    </row>
    <row r="282" spans="2:2">
      <c r="B282" s="5"/>
    </row>
    <row r="283" spans="2:2">
      <c r="B283" s="5"/>
    </row>
    <row r="284" spans="2:2">
      <c r="B284" s="5"/>
    </row>
    <row r="285" spans="2:2">
      <c r="B285" s="5"/>
    </row>
    <row r="286" spans="2:2">
      <c r="B286" s="5"/>
    </row>
    <row r="287" spans="2:2">
      <c r="B287" s="5"/>
    </row>
    <row r="288" spans="2:2">
      <c r="B288" s="5"/>
    </row>
    <row r="289" spans="2:2">
      <c r="B289" s="5"/>
    </row>
    <row r="290" spans="2:2">
      <c r="B290" s="5"/>
    </row>
    <row r="291" spans="2:2">
      <c r="B291" s="5"/>
    </row>
    <row r="292" spans="2:2">
      <c r="B292" s="5"/>
    </row>
    <row r="293" spans="2:2">
      <c r="B293" s="5"/>
    </row>
    <row r="294" spans="2:2">
      <c r="B294" s="5"/>
    </row>
    <row r="295" spans="2:2">
      <c r="B295" s="5"/>
    </row>
    <row r="296" spans="2:2">
      <c r="B296" s="5"/>
    </row>
    <row r="297" spans="2:2">
      <c r="B297" s="5"/>
    </row>
    <row r="298" spans="2:2">
      <c r="B298" s="5"/>
    </row>
    <row r="299" spans="2:2">
      <c r="B299" s="5"/>
    </row>
    <row r="300" spans="2:2">
      <c r="B300" s="5"/>
    </row>
    <row r="301" spans="2:2">
      <c r="B301" s="5"/>
    </row>
    <row r="302" spans="2:2">
      <c r="B302" s="5"/>
    </row>
    <row r="303" spans="2:2">
      <c r="B303" s="5"/>
    </row>
    <row r="304" spans="2:2">
      <c r="B304" s="5"/>
    </row>
    <row r="305" spans="2:2">
      <c r="B305" s="5"/>
    </row>
    <row r="306" spans="2:2">
      <c r="B306" s="5"/>
    </row>
    <row r="307" spans="2:2">
      <c r="B307" s="5"/>
    </row>
    <row r="308" spans="2:2">
      <c r="B308" s="5"/>
    </row>
    <row r="309" spans="2:2">
      <c r="B309" s="5"/>
    </row>
    <row r="310" spans="2:2">
      <c r="B310" s="5"/>
    </row>
    <row r="311" spans="2:2">
      <c r="B311" s="5"/>
    </row>
    <row r="312" spans="2:2">
      <c r="B312" s="5"/>
    </row>
    <row r="313" spans="2:2">
      <c r="B313" s="5"/>
    </row>
    <row r="314" spans="2:2">
      <c r="B314" s="5"/>
    </row>
    <row r="315" spans="2:2">
      <c r="B315" s="5"/>
    </row>
    <row r="316" spans="2:2">
      <c r="B316" s="5"/>
    </row>
    <row r="317" spans="2:2">
      <c r="B317" s="5"/>
    </row>
    <row r="318" spans="2:2">
      <c r="B318" s="5"/>
    </row>
    <row r="319" spans="2:2">
      <c r="B319" s="5"/>
    </row>
    <row r="320" spans="2:2">
      <c r="B320" s="5"/>
    </row>
    <row r="321" spans="2:2">
      <c r="B321" s="5"/>
    </row>
    <row r="322" spans="2:2">
      <c r="B322" s="5"/>
    </row>
    <row r="323" spans="2:2">
      <c r="B323" s="5"/>
    </row>
    <row r="324" spans="2:2">
      <c r="B324" s="5"/>
    </row>
    <row r="325" spans="2:2">
      <c r="B325" s="5"/>
    </row>
    <row r="326" spans="2:2">
      <c r="B326" s="5"/>
    </row>
    <row r="327" spans="2:2">
      <c r="B327" s="5"/>
    </row>
    <row r="328" spans="2:2">
      <c r="B328" s="5"/>
    </row>
    <row r="329" spans="2:2">
      <c r="B329" s="5"/>
    </row>
    <row r="330" spans="2:2">
      <c r="B330" s="5"/>
    </row>
    <row r="331" spans="2:2">
      <c r="B331" s="5"/>
    </row>
    <row r="332" spans="2:2">
      <c r="B332" s="5"/>
    </row>
    <row r="333" spans="2:2">
      <c r="B333" s="5"/>
    </row>
    <row r="334" spans="2:2">
      <c r="B334" s="5"/>
    </row>
    <row r="335" spans="2:2">
      <c r="B335" s="5"/>
    </row>
    <row r="336" spans="2:2">
      <c r="B336" s="5"/>
    </row>
    <row r="337" spans="2:2">
      <c r="B337" s="5"/>
    </row>
    <row r="338" spans="2:2">
      <c r="B338" s="5"/>
    </row>
    <row r="339" spans="2:2">
      <c r="B339" s="5"/>
    </row>
    <row r="340" spans="2:2">
      <c r="B340" s="5"/>
    </row>
    <row r="341" spans="2:2">
      <c r="B341" s="5"/>
    </row>
    <row r="342" spans="2:2">
      <c r="B342" s="5"/>
    </row>
    <row r="343" spans="2:2">
      <c r="B343" s="5"/>
    </row>
    <row r="344" spans="2:2">
      <c r="B344" s="5"/>
    </row>
    <row r="345" spans="2:2">
      <c r="B345" s="5"/>
    </row>
    <row r="346" spans="2:2">
      <c r="B346" s="5"/>
    </row>
    <row r="347" spans="2:2">
      <c r="B347" s="5"/>
    </row>
    <row r="348" spans="2:2">
      <c r="B348" s="5"/>
    </row>
    <row r="349" spans="2:2">
      <c r="B349" s="5"/>
    </row>
    <row r="350" spans="2:2">
      <c r="B350" s="5"/>
    </row>
    <row r="351" spans="2:2">
      <c r="B351" s="5"/>
    </row>
    <row r="352" spans="2:2">
      <c r="B352" s="5"/>
    </row>
    <row r="353" spans="2:2">
      <c r="B353" s="5"/>
    </row>
    <row r="354" spans="2:2">
      <c r="B354" s="5"/>
    </row>
    <row r="355" spans="2:2">
      <c r="B355" s="5"/>
    </row>
    <row r="356" spans="2:2">
      <c r="B356" s="5"/>
    </row>
    <row r="357" spans="2:2">
      <c r="B357" s="5"/>
    </row>
    <row r="358" spans="2:2">
      <c r="B358" s="5"/>
    </row>
    <row r="359" spans="2:2">
      <c r="B359" s="5"/>
    </row>
    <row r="360" spans="2:2">
      <c r="B360" s="5"/>
    </row>
    <row r="361" spans="2:2">
      <c r="B361" s="5"/>
    </row>
    <row r="362" spans="2:2">
      <c r="B362" s="5"/>
    </row>
    <row r="363" spans="2:2">
      <c r="B363" s="5"/>
    </row>
    <row r="364" spans="2:2">
      <c r="B364" s="5"/>
    </row>
    <row r="365" spans="2:2">
      <c r="B365" s="5"/>
    </row>
    <row r="366" spans="2:2">
      <c r="B366" s="5"/>
    </row>
    <row r="367" spans="2:2">
      <c r="B367" s="5"/>
    </row>
    <row r="368" spans="2:2">
      <c r="B368" s="5"/>
    </row>
    <row r="369" spans="2:2">
      <c r="B369" s="5"/>
    </row>
    <row r="370" spans="2:2">
      <c r="B370" s="5"/>
    </row>
    <row r="371" spans="2:2">
      <c r="B371" s="5"/>
    </row>
    <row r="372" spans="2:2">
      <c r="B372" s="5"/>
    </row>
    <row r="373" spans="2:2">
      <c r="B373" s="5"/>
    </row>
    <row r="374" spans="2:2">
      <c r="B374" s="5"/>
    </row>
    <row r="375" spans="2:2">
      <c r="B375" s="5"/>
    </row>
    <row r="376" spans="2:2">
      <c r="B376" s="5"/>
    </row>
    <row r="377" spans="2:2">
      <c r="B377" s="5"/>
    </row>
    <row r="378" spans="2:2">
      <c r="B378" s="5"/>
    </row>
    <row r="379" spans="2:2">
      <c r="B379" s="5"/>
    </row>
    <row r="380" spans="2:2">
      <c r="B380" s="5"/>
    </row>
    <row r="381" spans="2:2">
      <c r="B381" s="5"/>
    </row>
    <row r="382" spans="2:2">
      <c r="B382" s="5"/>
    </row>
    <row r="383" spans="2:2">
      <c r="B383" s="5"/>
    </row>
    <row r="384" spans="2:2">
      <c r="B384" s="5"/>
    </row>
    <row r="385" spans="2:2">
      <c r="B385" s="5"/>
    </row>
    <row r="386" spans="2:2">
      <c r="B386" s="5"/>
    </row>
    <row r="387" spans="2:2">
      <c r="B387" s="5"/>
    </row>
    <row r="388" spans="2:2">
      <c r="B388" s="5"/>
    </row>
    <row r="389" spans="2:2">
      <c r="B389" s="5"/>
    </row>
    <row r="390" spans="2:2">
      <c r="B390" s="5"/>
    </row>
    <row r="391" spans="2:2">
      <c r="B391" s="5"/>
    </row>
    <row r="392" spans="2:2">
      <c r="B392" s="5"/>
    </row>
    <row r="393" spans="2:2">
      <c r="B393" s="5"/>
    </row>
    <row r="394" spans="2:2">
      <c r="B394" s="5"/>
    </row>
    <row r="395" spans="2:2">
      <c r="B395" s="5"/>
    </row>
    <row r="396" spans="2:2">
      <c r="B396" s="5"/>
    </row>
    <row r="397" spans="2:2">
      <c r="B397" s="5"/>
    </row>
    <row r="398" spans="2:2">
      <c r="B398" s="5"/>
    </row>
    <row r="399" spans="2:2">
      <c r="B399" s="5"/>
    </row>
    <row r="400" spans="2:2">
      <c r="B400" s="5"/>
    </row>
    <row r="401" spans="2:2">
      <c r="B401" s="5"/>
    </row>
    <row r="402" spans="2:2">
      <c r="B402" s="5"/>
    </row>
    <row r="403" spans="2:2">
      <c r="B403" s="5"/>
    </row>
    <row r="404" spans="2:2">
      <c r="B404" s="5"/>
    </row>
    <row r="405" spans="2:2">
      <c r="B405" s="5"/>
    </row>
    <row r="406" spans="2:2">
      <c r="B406" s="5"/>
    </row>
    <row r="407" spans="2:2">
      <c r="B407" s="5"/>
    </row>
    <row r="408" spans="2:2">
      <c r="B408" s="5"/>
    </row>
    <row r="409" spans="2:2">
      <c r="B409" s="5"/>
    </row>
    <row r="410" spans="2:2">
      <c r="B410" s="5"/>
    </row>
    <row r="411" spans="2:2">
      <c r="B411" s="5"/>
    </row>
    <row r="412" spans="2:2">
      <c r="B412" s="5"/>
    </row>
    <row r="413" spans="2:2">
      <c r="B413" s="5"/>
    </row>
    <row r="414" spans="2:2">
      <c r="B414" s="5"/>
    </row>
    <row r="415" spans="2:2">
      <c r="B415" s="5"/>
    </row>
    <row r="416" spans="2:2">
      <c r="B416" s="5"/>
    </row>
    <row r="417" spans="2:2">
      <c r="B417" s="5"/>
    </row>
    <row r="418" spans="2:2">
      <c r="B418" s="5"/>
    </row>
    <row r="419" spans="2:2">
      <c r="B419" s="5"/>
    </row>
    <row r="420" spans="2:2">
      <c r="B420" s="5"/>
    </row>
    <row r="421" spans="2:2">
      <c r="B421" s="5"/>
    </row>
    <row r="422" spans="2:2">
      <c r="B422" s="5"/>
    </row>
    <row r="423" spans="2:2">
      <c r="B423" s="5"/>
    </row>
    <row r="424" spans="2:2">
      <c r="B424" s="5"/>
    </row>
    <row r="425" spans="2:2">
      <c r="B425" s="5"/>
    </row>
    <row r="426" spans="2:2">
      <c r="B426" s="5"/>
    </row>
    <row r="427" spans="2:2">
      <c r="B427" s="5"/>
    </row>
    <row r="428" spans="2:2">
      <c r="B428" s="5"/>
    </row>
    <row r="429" spans="2:2">
      <c r="B429" s="5"/>
    </row>
    <row r="430" spans="2:2">
      <c r="B430" s="5"/>
    </row>
    <row r="431" spans="2:2">
      <c r="B431" s="5"/>
    </row>
    <row r="432" spans="2:2">
      <c r="B432" s="5"/>
    </row>
    <row r="433" spans="2:2">
      <c r="B433" s="5"/>
    </row>
    <row r="434" spans="2:2">
      <c r="B434" s="5"/>
    </row>
    <row r="435" spans="2:2">
      <c r="B435" s="5"/>
    </row>
    <row r="436" spans="2:2">
      <c r="B436" s="5"/>
    </row>
    <row r="437" spans="2:2">
      <c r="B437" s="5"/>
    </row>
    <row r="438" spans="2:2">
      <c r="B438" s="5"/>
    </row>
    <row r="439" spans="2:2">
      <c r="B439" s="5"/>
    </row>
    <row r="440" spans="2:2">
      <c r="B440" s="5"/>
    </row>
    <row r="441" spans="2:2">
      <c r="B441" s="5"/>
    </row>
    <row r="442" spans="2:2">
      <c r="B442" s="5"/>
    </row>
    <row r="443" spans="2:2">
      <c r="B443" s="5"/>
    </row>
    <row r="444" spans="2:2">
      <c r="B444" s="5"/>
    </row>
    <row r="445" spans="2:2">
      <c r="B445" s="5"/>
    </row>
    <row r="446" spans="2:2">
      <c r="B446" s="5"/>
    </row>
    <row r="447" spans="2:2">
      <c r="B447" s="5"/>
    </row>
    <row r="448" spans="2:2">
      <c r="B448" s="5"/>
    </row>
    <row r="449" spans="2:2">
      <c r="B449" s="5"/>
    </row>
    <row r="450" spans="2:2">
      <c r="B450" s="5"/>
    </row>
    <row r="451" spans="2:2">
      <c r="B451" s="5"/>
    </row>
    <row r="452" spans="2:2">
      <c r="B452" s="5"/>
    </row>
    <row r="453" spans="2:2">
      <c r="B453" s="5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58" spans="2:2">
      <c r="B458" s="5"/>
    </row>
    <row r="459" spans="2:2">
      <c r="B459" s="5"/>
    </row>
    <row r="460" spans="2:2">
      <c r="B460" s="5"/>
    </row>
    <row r="461" spans="2:2">
      <c r="B461" s="5"/>
    </row>
    <row r="462" spans="2:2">
      <c r="B462" s="5"/>
    </row>
    <row r="463" spans="2:2">
      <c r="B463" s="5"/>
    </row>
    <row r="464" spans="2:2">
      <c r="B464" s="5"/>
    </row>
    <row r="465" spans="2:2">
      <c r="B465" s="5"/>
    </row>
    <row r="466" spans="2:2">
      <c r="B466" s="5"/>
    </row>
    <row r="467" spans="2:2">
      <c r="B467" s="5"/>
    </row>
    <row r="468" spans="2:2">
      <c r="B468" s="5"/>
    </row>
    <row r="469" spans="2:2">
      <c r="B469" s="5"/>
    </row>
    <row r="470" spans="2:2">
      <c r="B470" s="5"/>
    </row>
    <row r="471" spans="2:2">
      <c r="B471" s="5"/>
    </row>
    <row r="472" spans="2:2">
      <c r="B472" s="5"/>
    </row>
    <row r="473" spans="2:2">
      <c r="B473" s="5"/>
    </row>
    <row r="474" spans="2:2">
      <c r="B474" s="5"/>
    </row>
    <row r="475" spans="2:2">
      <c r="B475" s="5"/>
    </row>
    <row r="476" spans="2:2">
      <c r="B476" s="5"/>
    </row>
    <row r="477" spans="2:2">
      <c r="B477" s="5"/>
    </row>
    <row r="478" spans="2:2">
      <c r="B478" s="5"/>
    </row>
    <row r="479" spans="2:2">
      <c r="B479" s="5"/>
    </row>
    <row r="480" spans="2:2">
      <c r="B480" s="5"/>
    </row>
    <row r="481" spans="2:2">
      <c r="B481" s="5"/>
    </row>
    <row r="482" spans="2:2">
      <c r="B482" s="5"/>
    </row>
    <row r="483" spans="2:2">
      <c r="B483" s="5"/>
    </row>
    <row r="484" spans="2:2">
      <c r="B484" s="5"/>
    </row>
    <row r="485" spans="2:2">
      <c r="B485" s="5"/>
    </row>
    <row r="486" spans="2:2">
      <c r="B486" s="5"/>
    </row>
    <row r="487" spans="2:2">
      <c r="B487" s="5"/>
    </row>
    <row r="488" spans="2:2">
      <c r="B488" s="5"/>
    </row>
    <row r="489" spans="2:2">
      <c r="B489" s="5"/>
    </row>
    <row r="490" spans="2:2">
      <c r="B490" s="5"/>
    </row>
    <row r="491" spans="2:2">
      <c r="B491" s="5"/>
    </row>
    <row r="492" spans="2:2">
      <c r="B492" s="5"/>
    </row>
    <row r="493" spans="2:2">
      <c r="B493" s="5"/>
    </row>
    <row r="494" spans="2:2">
      <c r="B494" s="5"/>
    </row>
    <row r="495" spans="2:2">
      <c r="B495" s="5"/>
    </row>
    <row r="496" spans="2:2">
      <c r="B496" s="5"/>
    </row>
    <row r="497" spans="2:2">
      <c r="B497" s="5"/>
    </row>
    <row r="498" spans="2:2">
      <c r="B498" s="5"/>
    </row>
    <row r="499" spans="2:2">
      <c r="B499" s="5"/>
    </row>
    <row r="500" spans="2:2">
      <c r="B500" s="5"/>
    </row>
    <row r="501" spans="2:2">
      <c r="B501" s="5"/>
    </row>
    <row r="502" spans="2:2">
      <c r="B502" s="5"/>
    </row>
    <row r="503" spans="2:2">
      <c r="B503" s="5"/>
    </row>
    <row r="504" spans="2:2">
      <c r="B504" s="5"/>
    </row>
    <row r="505" spans="2:2">
      <c r="B505" s="5"/>
    </row>
    <row r="506" spans="2:2">
      <c r="B506" s="5"/>
    </row>
    <row r="507" spans="2:2">
      <c r="B507" s="5"/>
    </row>
    <row r="508" spans="2:2">
      <c r="B508" s="5"/>
    </row>
    <row r="509" spans="2:2">
      <c r="B509" s="5"/>
    </row>
    <row r="510" spans="2:2">
      <c r="B510" s="5"/>
    </row>
    <row r="511" spans="2:2">
      <c r="B511" s="5"/>
    </row>
    <row r="512" spans="2:2">
      <c r="B512" s="5"/>
    </row>
    <row r="513" spans="2:2">
      <c r="B513" s="5"/>
    </row>
    <row r="514" spans="2:2">
      <c r="B514" s="5"/>
    </row>
    <row r="515" spans="2:2">
      <c r="B515" s="5"/>
    </row>
    <row r="516" spans="2:2">
      <c r="B516" s="5"/>
    </row>
    <row r="517" spans="2:2">
      <c r="B517" s="5"/>
    </row>
    <row r="518" spans="2:2">
      <c r="B518" s="5"/>
    </row>
    <row r="519" spans="2:2">
      <c r="B519" s="5"/>
    </row>
    <row r="520" spans="2:2">
      <c r="B520" s="5"/>
    </row>
    <row r="521" spans="2:2">
      <c r="B521" s="5"/>
    </row>
    <row r="522" spans="2:2">
      <c r="B522" s="5"/>
    </row>
    <row r="523" spans="2:2">
      <c r="B523" s="5"/>
    </row>
    <row r="524" spans="2:2">
      <c r="B524" s="5"/>
    </row>
    <row r="525" spans="2:2">
      <c r="B525" s="5"/>
    </row>
    <row r="526" spans="2:2">
      <c r="B526" s="5"/>
    </row>
    <row r="527" spans="2:2">
      <c r="B527" s="5"/>
    </row>
    <row r="528" spans="2:2">
      <c r="B528" s="5"/>
    </row>
    <row r="529" spans="2:2">
      <c r="B529" s="5"/>
    </row>
    <row r="530" spans="2:2">
      <c r="B530" s="5"/>
    </row>
    <row r="531" spans="2:2">
      <c r="B531" s="5"/>
    </row>
    <row r="532" spans="2:2">
      <c r="B532" s="5"/>
    </row>
    <row r="533" spans="2:2">
      <c r="B533" s="5"/>
    </row>
    <row r="534" spans="2:2">
      <c r="B534" s="5"/>
    </row>
    <row r="535" spans="2:2">
      <c r="B535" s="5"/>
    </row>
    <row r="536" spans="2:2">
      <c r="B536" s="5"/>
    </row>
    <row r="537" spans="2:2">
      <c r="B537" s="5"/>
    </row>
    <row r="538" spans="2:2">
      <c r="B538" s="5"/>
    </row>
    <row r="539" spans="2:2">
      <c r="B539" s="5"/>
    </row>
    <row r="540" spans="2:2">
      <c r="B540" s="5"/>
    </row>
    <row r="541" spans="2:2">
      <c r="B541" s="5"/>
    </row>
    <row r="542" spans="2:2">
      <c r="B542" s="5"/>
    </row>
    <row r="543" spans="2:2">
      <c r="B543" s="5"/>
    </row>
    <row r="544" spans="2:2">
      <c r="B544" s="5"/>
    </row>
    <row r="545" spans="2:2">
      <c r="B545" s="5"/>
    </row>
    <row r="546" spans="2:2">
      <c r="B546" s="5"/>
    </row>
    <row r="547" spans="2:2">
      <c r="B547" s="5"/>
    </row>
    <row r="548" spans="2:2">
      <c r="B548" s="5"/>
    </row>
    <row r="549" spans="2:2">
      <c r="B549" s="5"/>
    </row>
    <row r="550" spans="2:2">
      <c r="B550" s="5"/>
    </row>
    <row r="551" spans="2:2">
      <c r="B551" s="5"/>
    </row>
    <row r="552" spans="2:2">
      <c r="B552" s="5"/>
    </row>
    <row r="553" spans="2:2">
      <c r="B553" s="5"/>
    </row>
    <row r="554" spans="2:2">
      <c r="B554" s="5"/>
    </row>
    <row r="555" spans="2:2">
      <c r="B555" s="5"/>
    </row>
    <row r="556" spans="2:2">
      <c r="B556" s="5"/>
    </row>
    <row r="557" spans="2:2">
      <c r="B557" s="5"/>
    </row>
    <row r="558" spans="2:2">
      <c r="B558" s="5"/>
    </row>
    <row r="559" spans="2:2">
      <c r="B559" s="5"/>
    </row>
    <row r="560" spans="2:2">
      <c r="B560" s="5"/>
    </row>
    <row r="561" spans="2:2">
      <c r="B561" s="5"/>
    </row>
    <row r="562" spans="2:2">
      <c r="B562" s="5"/>
    </row>
    <row r="563" spans="2:2">
      <c r="B563" s="5"/>
    </row>
    <row r="564" spans="2:2">
      <c r="B564" s="5"/>
    </row>
    <row r="565" spans="2:2">
      <c r="B565" s="5"/>
    </row>
    <row r="566" spans="2:2">
      <c r="B566" s="5"/>
    </row>
    <row r="567" spans="2:2">
      <c r="B567" s="5"/>
    </row>
    <row r="568" spans="2:2">
      <c r="B568" s="5"/>
    </row>
    <row r="569" spans="2:2">
      <c r="B569" s="5"/>
    </row>
    <row r="570" spans="2:2">
      <c r="B570" s="5"/>
    </row>
    <row r="571" spans="2:2">
      <c r="B571" s="5"/>
    </row>
    <row r="572" spans="2:2">
      <c r="B572" s="5"/>
    </row>
    <row r="573" spans="2:2">
      <c r="B573" s="5"/>
    </row>
    <row r="574" spans="2:2">
      <c r="B574" s="5"/>
    </row>
    <row r="575" spans="2:2">
      <c r="B575" s="5"/>
    </row>
    <row r="576" spans="2:2">
      <c r="B576" s="5"/>
    </row>
    <row r="577" spans="2:2">
      <c r="B577" s="5"/>
    </row>
    <row r="578" spans="2:2">
      <c r="B578" s="5"/>
    </row>
    <row r="579" spans="2:2">
      <c r="B579" s="5"/>
    </row>
    <row r="580" spans="2:2">
      <c r="B580" s="5"/>
    </row>
    <row r="581" spans="2:2">
      <c r="B581" s="5"/>
    </row>
    <row r="582" spans="2:2">
      <c r="B582" s="5"/>
    </row>
    <row r="583" spans="2:2">
      <c r="B583" s="5"/>
    </row>
    <row r="584" spans="2:2">
      <c r="B584" s="5"/>
    </row>
    <row r="585" spans="2:2">
      <c r="B585" s="5"/>
    </row>
    <row r="586" spans="2:2">
      <c r="B586" s="5"/>
    </row>
    <row r="587" spans="2:2">
      <c r="B587" s="5"/>
    </row>
    <row r="588" spans="2:2">
      <c r="B588" s="5"/>
    </row>
    <row r="589" spans="2:2">
      <c r="B589" s="5"/>
    </row>
    <row r="590" spans="2:2">
      <c r="B590" s="5"/>
    </row>
    <row r="591" spans="2:2">
      <c r="B591" s="5"/>
    </row>
    <row r="592" spans="2:2">
      <c r="B592" s="5"/>
    </row>
    <row r="593" spans="2:2">
      <c r="B593" s="5"/>
    </row>
    <row r="594" spans="2:2">
      <c r="B594" s="5"/>
    </row>
    <row r="595" spans="2:2">
      <c r="B595" s="5"/>
    </row>
    <row r="596" spans="2:2">
      <c r="B596" s="5"/>
    </row>
    <row r="597" spans="2:2">
      <c r="B597" s="5"/>
    </row>
    <row r="598" spans="2:2">
      <c r="B598" s="5"/>
    </row>
    <row r="599" spans="2:2">
      <c r="B599" s="5"/>
    </row>
    <row r="600" spans="2:2">
      <c r="B600" s="5"/>
    </row>
    <row r="601" spans="2:2">
      <c r="B601" s="5"/>
    </row>
    <row r="602" spans="2:2">
      <c r="B602" s="5"/>
    </row>
    <row r="603" spans="2:2">
      <c r="B603" s="5"/>
    </row>
    <row r="604" spans="2:2">
      <c r="B604" s="5"/>
    </row>
    <row r="605" spans="2:2">
      <c r="B605" s="5"/>
    </row>
    <row r="606" spans="2:2">
      <c r="B606" s="5"/>
    </row>
    <row r="607" spans="2:2">
      <c r="B607" s="5"/>
    </row>
    <row r="608" spans="2:2">
      <c r="B608" s="5"/>
    </row>
    <row r="609" spans="2:2">
      <c r="B609" s="5"/>
    </row>
    <row r="610" spans="2:2">
      <c r="B610" s="5"/>
    </row>
    <row r="611" spans="2:2">
      <c r="B611" s="5"/>
    </row>
    <row r="612" spans="2:2">
      <c r="B612" s="5"/>
    </row>
    <row r="613" spans="2:2">
      <c r="B613" s="5"/>
    </row>
    <row r="614" spans="2:2">
      <c r="B614" s="5"/>
    </row>
    <row r="615" spans="2:2">
      <c r="B615" s="5"/>
    </row>
    <row r="616" spans="2:2">
      <c r="B616" s="5"/>
    </row>
    <row r="617" spans="2:2">
      <c r="B617" s="5"/>
    </row>
    <row r="618" spans="2:2">
      <c r="B618" s="5"/>
    </row>
    <row r="619" spans="2:2">
      <c r="B619" s="5"/>
    </row>
    <row r="620" spans="2:2">
      <c r="B620" s="5"/>
    </row>
    <row r="621" spans="2:2">
      <c r="B621" s="5"/>
    </row>
    <row r="622" spans="2:2">
      <c r="B622" s="5"/>
    </row>
    <row r="623" spans="2:2">
      <c r="B623" s="5"/>
    </row>
    <row r="624" spans="2:2">
      <c r="B624" s="5"/>
    </row>
    <row r="625" spans="2:2">
      <c r="B625" s="5"/>
    </row>
    <row r="626" spans="2:2">
      <c r="B626" s="5"/>
    </row>
    <row r="627" spans="2:2">
      <c r="B627" s="5"/>
    </row>
    <row r="628" spans="2:2">
      <c r="B628" s="5"/>
    </row>
    <row r="629" spans="2:2">
      <c r="B629" s="5"/>
    </row>
    <row r="630" spans="2:2">
      <c r="B630" s="5"/>
    </row>
    <row r="631" spans="2:2">
      <c r="B631" s="5"/>
    </row>
    <row r="632" spans="2:2">
      <c r="B632" s="5"/>
    </row>
    <row r="633" spans="2:2">
      <c r="B633" s="5"/>
    </row>
    <row r="634" spans="2:2">
      <c r="B634" s="5"/>
    </row>
    <row r="635" spans="2:2">
      <c r="B635" s="5"/>
    </row>
    <row r="636" spans="2:2">
      <c r="B636" s="5"/>
    </row>
    <row r="637" spans="2:2">
      <c r="B637" s="5"/>
    </row>
    <row r="638" spans="2:2">
      <c r="B638" s="5"/>
    </row>
    <row r="639" spans="2:2">
      <c r="B639" s="5"/>
    </row>
    <row r="640" spans="2:2">
      <c r="B640" s="5"/>
    </row>
    <row r="641" spans="2:2">
      <c r="B641" s="5"/>
    </row>
    <row r="642" spans="2:2">
      <c r="B642" s="5"/>
    </row>
    <row r="643" spans="2:2">
      <c r="B643" s="5"/>
    </row>
    <row r="644" spans="2:2">
      <c r="B644" s="5"/>
    </row>
    <row r="645" spans="2:2">
      <c r="B645" s="5"/>
    </row>
    <row r="646" spans="2:2">
      <c r="B646" s="5"/>
    </row>
    <row r="647" spans="2:2">
      <c r="B647" s="5"/>
    </row>
    <row r="648" spans="2:2">
      <c r="B648" s="5"/>
    </row>
    <row r="649" spans="2:2">
      <c r="B649" s="5"/>
    </row>
    <row r="650" spans="2:2">
      <c r="B650" s="5"/>
    </row>
    <row r="651" spans="2:2">
      <c r="B651" s="5"/>
    </row>
    <row r="652" spans="2:2">
      <c r="B652" s="5"/>
    </row>
    <row r="653" spans="2:2">
      <c r="B653" s="5"/>
    </row>
    <row r="654" spans="2:2">
      <c r="B654" s="5"/>
    </row>
    <row r="655" spans="2:2">
      <c r="B655" s="5"/>
    </row>
    <row r="656" spans="2:2">
      <c r="B656" s="5"/>
    </row>
    <row r="657" spans="2:2">
      <c r="B657" s="5"/>
    </row>
    <row r="658" spans="2:2">
      <c r="B658" s="5"/>
    </row>
    <row r="659" spans="2:2">
      <c r="B659" s="5"/>
    </row>
    <row r="660" spans="2:2">
      <c r="B660" s="5"/>
    </row>
    <row r="661" spans="2:2">
      <c r="B661" s="5"/>
    </row>
    <row r="662" spans="2:2">
      <c r="B662" s="5"/>
    </row>
    <row r="663" spans="2:2">
      <c r="B663" s="5"/>
    </row>
    <row r="664" spans="2:2">
      <c r="B664" s="5"/>
    </row>
    <row r="665" spans="2:2">
      <c r="B665" s="5"/>
    </row>
    <row r="666" spans="2:2">
      <c r="B666" s="5"/>
    </row>
    <row r="667" spans="2:2">
      <c r="B667" s="5"/>
    </row>
    <row r="668" spans="2:2">
      <c r="B668" s="5"/>
    </row>
    <row r="669" spans="2:2">
      <c r="B669" s="5"/>
    </row>
    <row r="670" spans="2:2">
      <c r="B670" s="5"/>
    </row>
    <row r="671" spans="2:2">
      <c r="B671" s="5"/>
    </row>
    <row r="672" spans="2:2">
      <c r="B672" s="5"/>
    </row>
    <row r="673" spans="2:2">
      <c r="B673" s="5"/>
    </row>
    <row r="674" spans="2:2">
      <c r="B674" s="5"/>
    </row>
    <row r="675" spans="2:2">
      <c r="B675" s="5"/>
    </row>
    <row r="676" spans="2:2">
      <c r="B676" s="5"/>
    </row>
    <row r="677" spans="2:2">
      <c r="B677" s="5"/>
    </row>
    <row r="678" spans="2:2">
      <c r="B678" s="5"/>
    </row>
    <row r="679" spans="2:2">
      <c r="B679" s="5"/>
    </row>
    <row r="680" spans="2:2">
      <c r="B680" s="5"/>
    </row>
    <row r="681" spans="2:2">
      <c r="B681" s="5"/>
    </row>
    <row r="682" spans="2:2">
      <c r="B682" s="5"/>
    </row>
    <row r="683" spans="2:2">
      <c r="B683" s="5"/>
    </row>
    <row r="684" spans="2:2">
      <c r="B684" s="5"/>
    </row>
    <row r="685" spans="2:2">
      <c r="B685" s="5"/>
    </row>
    <row r="686" spans="2:2">
      <c r="B686" s="5"/>
    </row>
    <row r="687" spans="2:2">
      <c r="B687" s="5"/>
    </row>
    <row r="688" spans="2:2">
      <c r="B688" s="5"/>
    </row>
    <row r="689" spans="2:2">
      <c r="B689" s="5"/>
    </row>
    <row r="690" spans="2:2">
      <c r="B690" s="5"/>
    </row>
    <row r="691" spans="2:2">
      <c r="B691" s="5"/>
    </row>
    <row r="692" spans="2:2">
      <c r="B692" s="5"/>
    </row>
    <row r="693" spans="2:2">
      <c r="B693" s="5"/>
    </row>
    <row r="694" spans="2:2">
      <c r="B694" s="5"/>
    </row>
    <row r="695" spans="2:2">
      <c r="B695" s="5"/>
    </row>
    <row r="696" spans="2:2">
      <c r="B696" s="5"/>
    </row>
    <row r="697" spans="2:2">
      <c r="B697" s="5"/>
    </row>
    <row r="698" spans="2:2">
      <c r="B698" s="5"/>
    </row>
    <row r="699" spans="2:2">
      <c r="B699" s="5"/>
    </row>
    <row r="700" spans="2:2">
      <c r="B700" s="5"/>
    </row>
    <row r="701" spans="2:2">
      <c r="B701" s="5"/>
    </row>
    <row r="702" spans="2:2">
      <c r="B702" s="5"/>
    </row>
    <row r="703" spans="2:2">
      <c r="B703" s="5"/>
    </row>
    <row r="704" spans="2:2">
      <c r="B704" s="5"/>
    </row>
    <row r="705" spans="2:2">
      <c r="B705" s="5"/>
    </row>
    <row r="706" spans="2:2">
      <c r="B706" s="5"/>
    </row>
    <row r="707" spans="2:2">
      <c r="B707" s="5"/>
    </row>
    <row r="708" spans="2:2">
      <c r="B708" s="5"/>
    </row>
    <row r="709" spans="2:2">
      <c r="B709" s="5"/>
    </row>
    <row r="710" spans="2:2">
      <c r="B710" s="5"/>
    </row>
    <row r="711" spans="2:2">
      <c r="B711" s="5"/>
    </row>
    <row r="712" spans="2:2">
      <c r="B712" s="5"/>
    </row>
    <row r="713" spans="2:2">
      <c r="B713" s="5"/>
    </row>
    <row r="714" spans="2:2">
      <c r="B714" s="5"/>
    </row>
    <row r="715" spans="2:2">
      <c r="B715" s="5"/>
    </row>
    <row r="716" spans="2:2">
      <c r="B716" s="5"/>
    </row>
    <row r="717" spans="2:2">
      <c r="B717" s="5"/>
    </row>
    <row r="718" spans="2:2">
      <c r="B718" s="5"/>
    </row>
    <row r="719" spans="2:2">
      <c r="B719" s="5"/>
    </row>
    <row r="720" spans="2:2">
      <c r="B720" s="5"/>
    </row>
    <row r="721" spans="2:2">
      <c r="B721" s="5"/>
    </row>
    <row r="722" spans="2:2">
      <c r="B722" s="5"/>
    </row>
    <row r="723" spans="2:2">
      <c r="B723" s="5"/>
    </row>
    <row r="724" spans="2:2">
      <c r="B724" s="5"/>
    </row>
    <row r="725" spans="2:2">
      <c r="B725" s="5"/>
    </row>
    <row r="726" spans="2:2">
      <c r="B726" s="5"/>
    </row>
    <row r="727" spans="2:2">
      <c r="B727" s="5"/>
    </row>
    <row r="728" spans="2:2">
      <c r="B728" s="5"/>
    </row>
    <row r="729" spans="2:2">
      <c r="B729" s="5"/>
    </row>
    <row r="730" spans="2:2">
      <c r="B730" s="5"/>
    </row>
    <row r="731" spans="2:2">
      <c r="B731" s="5"/>
    </row>
    <row r="732" spans="2:2">
      <c r="B732" s="5"/>
    </row>
    <row r="733" spans="2:2">
      <c r="B733" s="5"/>
    </row>
    <row r="734" spans="2:2">
      <c r="B734" s="5"/>
    </row>
    <row r="735" spans="2:2">
      <c r="B735" s="5"/>
    </row>
    <row r="736" spans="2:2">
      <c r="B736" s="5"/>
    </row>
    <row r="737" spans="2:2">
      <c r="B737" s="5"/>
    </row>
    <row r="738" spans="2:2">
      <c r="B738" s="5"/>
    </row>
    <row r="739" spans="2:2">
      <c r="B739" s="5"/>
    </row>
    <row r="740" spans="2:2">
      <c r="B740" s="5"/>
    </row>
    <row r="741" spans="2:2">
      <c r="B741" s="5"/>
    </row>
    <row r="742" spans="2:2">
      <c r="B742" s="5"/>
    </row>
    <row r="743" spans="2:2">
      <c r="B743" s="5"/>
    </row>
    <row r="744" spans="2:2">
      <c r="B744" s="5"/>
    </row>
    <row r="745" spans="2:2">
      <c r="B745" s="5"/>
    </row>
    <row r="746" spans="2:2">
      <c r="B746" s="5"/>
    </row>
    <row r="747" spans="2:2">
      <c r="B747" s="5"/>
    </row>
    <row r="748" spans="2:2">
      <c r="B748" s="5"/>
    </row>
    <row r="749" spans="2:2">
      <c r="B749" s="5"/>
    </row>
    <row r="750" spans="2:2">
      <c r="B750" s="5"/>
    </row>
    <row r="751" spans="2:2">
      <c r="B751" s="5"/>
    </row>
    <row r="752" spans="2:2">
      <c r="B752" s="5"/>
    </row>
    <row r="753" spans="2:2">
      <c r="B753" s="5"/>
    </row>
    <row r="754" spans="2:2">
      <c r="B754" s="5"/>
    </row>
    <row r="755" spans="2:2">
      <c r="B755" s="5"/>
    </row>
    <row r="756" spans="2:2">
      <c r="B756" s="5"/>
    </row>
    <row r="757" spans="2:2">
      <c r="B757" s="5"/>
    </row>
    <row r="758" spans="2:2">
      <c r="B758" s="5"/>
    </row>
    <row r="759" spans="2:2">
      <c r="B759" s="5"/>
    </row>
    <row r="760" spans="2:2">
      <c r="B760" s="5"/>
    </row>
    <row r="761" spans="2:2">
      <c r="B761" s="5"/>
    </row>
    <row r="762" spans="2:2">
      <c r="B762" s="5"/>
    </row>
    <row r="763" spans="2:2">
      <c r="B763" s="5"/>
    </row>
    <row r="764" spans="2:2">
      <c r="B764" s="5"/>
    </row>
    <row r="765" spans="2:2">
      <c r="B765" s="5"/>
    </row>
    <row r="766" spans="2:2">
      <c r="B766" s="5"/>
    </row>
    <row r="767" spans="2:2">
      <c r="B767" s="5"/>
    </row>
    <row r="768" spans="2:2">
      <c r="B768" s="5"/>
    </row>
    <row r="769" spans="2:2">
      <c r="B769" s="5"/>
    </row>
    <row r="770" spans="2:2">
      <c r="B770" s="5"/>
    </row>
    <row r="771" spans="2:2">
      <c r="B771" s="5"/>
    </row>
    <row r="772" spans="2:2">
      <c r="B772" s="5"/>
    </row>
    <row r="773" spans="2:2">
      <c r="B773" s="5"/>
    </row>
    <row r="774" spans="2:2">
      <c r="B774" s="5"/>
    </row>
    <row r="775" spans="2:2">
      <c r="B775" s="5"/>
    </row>
    <row r="776" spans="2:2">
      <c r="B776" s="5"/>
    </row>
    <row r="777" spans="2:2">
      <c r="B777" s="5"/>
    </row>
    <row r="778" spans="2:2">
      <c r="B778" s="5"/>
    </row>
    <row r="779" spans="2:2">
      <c r="B779" s="5"/>
    </row>
    <row r="780" spans="2:2">
      <c r="B780" s="5"/>
    </row>
    <row r="781" spans="2:2">
      <c r="B781" s="5"/>
    </row>
    <row r="782" spans="2:2">
      <c r="B782" s="5"/>
    </row>
    <row r="783" spans="2:2">
      <c r="B783" s="5"/>
    </row>
    <row r="784" spans="2:2">
      <c r="B784" s="5"/>
    </row>
    <row r="785" spans="2:2">
      <c r="B785" s="5"/>
    </row>
    <row r="786" spans="2:2">
      <c r="B786" s="5"/>
    </row>
    <row r="787" spans="2:2">
      <c r="B787" s="5"/>
    </row>
    <row r="788" spans="2:2">
      <c r="B788" s="5"/>
    </row>
    <row r="789" spans="2:2">
      <c r="B789" s="5"/>
    </row>
    <row r="790" spans="2:2">
      <c r="B790" s="5"/>
    </row>
    <row r="791" spans="2:2">
      <c r="B791" s="5"/>
    </row>
    <row r="792" spans="2:2">
      <c r="B792" s="5"/>
    </row>
    <row r="793" spans="2:2">
      <c r="B793" s="5"/>
    </row>
    <row r="794" spans="2:2">
      <c r="B794" s="5"/>
    </row>
    <row r="795" spans="2:2">
      <c r="B795" s="5"/>
    </row>
    <row r="796" spans="2:2">
      <c r="B796" s="5"/>
    </row>
    <row r="797" spans="2:2">
      <c r="B797" s="5"/>
    </row>
    <row r="798" spans="2:2">
      <c r="B798" s="5"/>
    </row>
    <row r="799" spans="2:2">
      <c r="B799" s="5"/>
    </row>
    <row r="800" spans="2:2">
      <c r="B800" s="5"/>
    </row>
    <row r="801" spans="2:2">
      <c r="B801" s="5"/>
    </row>
    <row r="802" spans="2:2">
      <c r="B802" s="5"/>
    </row>
    <row r="803" spans="2:2">
      <c r="B803" s="5"/>
    </row>
    <row r="804" spans="2:2">
      <c r="B804" s="5"/>
    </row>
    <row r="805" spans="2:2">
      <c r="B805" s="5"/>
    </row>
    <row r="806" spans="2:2">
      <c r="B806" s="5"/>
    </row>
    <row r="807" spans="2:2">
      <c r="B807" s="5"/>
    </row>
    <row r="808" spans="2:2">
      <c r="B808" s="5"/>
    </row>
    <row r="809" spans="2:2">
      <c r="B809" s="5"/>
    </row>
    <row r="810" spans="2:2">
      <c r="B810" s="5"/>
    </row>
    <row r="811" spans="2:2">
      <c r="B811" s="5"/>
    </row>
    <row r="812" spans="2:2">
      <c r="B812" s="5"/>
    </row>
    <row r="813" spans="2:2">
      <c r="B813" s="5"/>
    </row>
    <row r="814" spans="2:2">
      <c r="B814" s="5"/>
    </row>
    <row r="815" spans="2:2">
      <c r="B815" s="5"/>
    </row>
    <row r="816" spans="2:2">
      <c r="B816" s="5"/>
    </row>
    <row r="817" spans="2:2">
      <c r="B817" s="5"/>
    </row>
    <row r="818" spans="2:2">
      <c r="B818" s="5"/>
    </row>
    <row r="819" spans="2:2">
      <c r="B819" s="5"/>
    </row>
    <row r="820" spans="2:2">
      <c r="B820" s="5"/>
    </row>
    <row r="821" spans="2:2">
      <c r="B821" s="5"/>
    </row>
    <row r="822" spans="2:2">
      <c r="B822" s="5"/>
    </row>
    <row r="823" spans="2:2">
      <c r="B823" s="5"/>
    </row>
    <row r="824" spans="2:2">
      <c r="B824" s="5"/>
    </row>
    <row r="825" spans="2:2">
      <c r="B825" s="5"/>
    </row>
    <row r="826" spans="2:2">
      <c r="B826" s="5"/>
    </row>
    <row r="827" spans="2:2">
      <c r="B827" s="5"/>
    </row>
    <row r="828" spans="2:2">
      <c r="B828" s="5"/>
    </row>
    <row r="829" spans="2:2">
      <c r="B829" s="5"/>
    </row>
    <row r="830" spans="2:2">
      <c r="B830" s="5"/>
    </row>
    <row r="831" spans="2:2">
      <c r="B831" s="5"/>
    </row>
    <row r="832" spans="2:2">
      <c r="B832" s="5"/>
    </row>
    <row r="833" spans="2:2">
      <c r="B833" s="5"/>
    </row>
    <row r="834" spans="2:2">
      <c r="B834" s="5"/>
    </row>
    <row r="835" spans="2:2">
      <c r="B835" s="5"/>
    </row>
    <row r="836" spans="2:2">
      <c r="B836" s="5"/>
    </row>
    <row r="837" spans="2:2">
      <c r="B837" s="5"/>
    </row>
    <row r="838" spans="2:2">
      <c r="B838" s="5"/>
    </row>
    <row r="839" spans="2:2">
      <c r="B839" s="5"/>
    </row>
    <row r="840" spans="2:2">
      <c r="B840" s="5"/>
    </row>
    <row r="841" spans="2:2">
      <c r="B841" s="5"/>
    </row>
    <row r="842" spans="2:2">
      <c r="B842" s="5"/>
    </row>
    <row r="843" spans="2:2">
      <c r="B843" s="5"/>
    </row>
    <row r="844" spans="2:2">
      <c r="B844" s="5"/>
    </row>
    <row r="845" spans="2:2">
      <c r="B845" s="5"/>
    </row>
    <row r="846" spans="2:2">
      <c r="B846" s="5"/>
    </row>
    <row r="847" spans="2:2">
      <c r="B847" s="5"/>
    </row>
    <row r="848" spans="2:2">
      <c r="B848" s="5"/>
    </row>
    <row r="849" spans="2:2">
      <c r="B849" s="5"/>
    </row>
    <row r="850" spans="2:2">
      <c r="B850" s="5"/>
    </row>
    <row r="851" spans="2:2">
      <c r="B851" s="5"/>
    </row>
    <row r="852" spans="2:2">
      <c r="B852" s="5"/>
    </row>
    <row r="853" spans="2:2">
      <c r="B853" s="5"/>
    </row>
    <row r="854" spans="2:2">
      <c r="B854" s="5"/>
    </row>
    <row r="855" spans="2:2">
      <c r="B855" s="5"/>
    </row>
    <row r="856" spans="2:2">
      <c r="B856" s="5"/>
    </row>
    <row r="857" spans="2:2">
      <c r="B857" s="5"/>
    </row>
    <row r="858" spans="2:2">
      <c r="B858" s="5"/>
    </row>
    <row r="859" spans="2:2">
      <c r="B859" s="5"/>
    </row>
    <row r="860" spans="2:2">
      <c r="B860" s="5"/>
    </row>
    <row r="861" spans="2:2">
      <c r="B861" s="5"/>
    </row>
    <row r="862" spans="2:2">
      <c r="B862" s="5"/>
    </row>
    <row r="863" spans="2:2">
      <c r="B863" s="5"/>
    </row>
    <row r="864" spans="2:2">
      <c r="B864" s="5"/>
    </row>
    <row r="865" spans="2:2">
      <c r="B865" s="5"/>
    </row>
    <row r="866" spans="2:2">
      <c r="B866" s="5"/>
    </row>
    <row r="867" spans="2:2">
      <c r="B867" s="5"/>
    </row>
    <row r="868" spans="2:2">
      <c r="B868" s="5"/>
    </row>
    <row r="869" spans="2:2">
      <c r="B869" s="5"/>
    </row>
    <row r="870" spans="2:2">
      <c r="B870" s="5"/>
    </row>
    <row r="871" spans="2:2">
      <c r="B871" s="5"/>
    </row>
    <row r="872" spans="2:2">
      <c r="B872" s="5"/>
    </row>
    <row r="873" spans="2:2">
      <c r="B873" s="5"/>
    </row>
    <row r="874" spans="2:2">
      <c r="B874" s="5"/>
    </row>
    <row r="875" spans="2:2">
      <c r="B875" s="5"/>
    </row>
    <row r="876" spans="2:2">
      <c r="B876" s="5"/>
    </row>
    <row r="877" spans="2:2">
      <c r="B877" s="5"/>
    </row>
    <row r="878" spans="2:2">
      <c r="B878" s="5"/>
    </row>
    <row r="879" spans="2:2">
      <c r="B879" s="5"/>
    </row>
    <row r="880" spans="2:2">
      <c r="B880" s="5"/>
    </row>
    <row r="881" spans="2:2">
      <c r="B881" s="5"/>
    </row>
    <row r="882" spans="2:2">
      <c r="B882" s="5"/>
    </row>
    <row r="883" spans="2:2">
      <c r="B883" s="5"/>
    </row>
    <row r="884" spans="2:2">
      <c r="B884" s="5"/>
    </row>
    <row r="885" spans="2:2">
      <c r="B885" s="5"/>
    </row>
    <row r="886" spans="2:2">
      <c r="B886" s="5"/>
    </row>
    <row r="887" spans="2:2">
      <c r="B887" s="5"/>
    </row>
    <row r="888" spans="2:2">
      <c r="B888" s="5"/>
    </row>
    <row r="889" spans="2:2">
      <c r="B889" s="5"/>
    </row>
    <row r="890" spans="2:2">
      <c r="B890" s="5"/>
    </row>
    <row r="891" spans="2:2">
      <c r="B891" s="5"/>
    </row>
    <row r="892" spans="2:2">
      <c r="B892" s="5"/>
    </row>
    <row r="893" spans="2:2">
      <c r="B893" s="5"/>
    </row>
    <row r="894" spans="2:2">
      <c r="B894" s="5"/>
    </row>
    <row r="895" spans="2:2">
      <c r="B895" s="5"/>
    </row>
    <row r="896" spans="2:2">
      <c r="B896" s="5"/>
    </row>
    <row r="897" spans="2:2">
      <c r="B897" s="5"/>
    </row>
    <row r="898" spans="2:2">
      <c r="B898" s="5"/>
    </row>
    <row r="899" spans="2:2">
      <c r="B899" s="5"/>
    </row>
    <row r="900" spans="2:2">
      <c r="B900" s="5"/>
    </row>
    <row r="901" spans="2:2">
      <c r="B901" s="5"/>
    </row>
    <row r="902" spans="2:2">
      <c r="B902" s="5"/>
    </row>
    <row r="903" spans="2:2">
      <c r="B903" s="5"/>
    </row>
    <row r="904" spans="2:2">
      <c r="B904" s="5"/>
    </row>
    <row r="905" spans="2:2">
      <c r="B905" s="5"/>
    </row>
    <row r="906" spans="2:2">
      <c r="B906" s="5"/>
    </row>
    <row r="907" spans="2:2">
      <c r="B907" s="5"/>
    </row>
    <row r="908" spans="2:2">
      <c r="B908" s="5"/>
    </row>
    <row r="909" spans="2:2">
      <c r="B909" s="5"/>
    </row>
    <row r="910" spans="2:2">
      <c r="B910" s="5"/>
    </row>
    <row r="911" spans="2:2">
      <c r="B911" s="5"/>
    </row>
    <row r="912" spans="2:2">
      <c r="B912" s="5"/>
    </row>
    <row r="913" spans="2:2">
      <c r="B913" s="5"/>
    </row>
    <row r="914" spans="2:2">
      <c r="B914" s="5"/>
    </row>
    <row r="915" spans="2:2">
      <c r="B915" s="5"/>
    </row>
    <row r="916" spans="2:2">
      <c r="B916" s="5"/>
    </row>
    <row r="917" spans="2:2">
      <c r="B917" s="5"/>
    </row>
    <row r="918" spans="2:2">
      <c r="B918" s="5"/>
    </row>
    <row r="919" spans="2:2">
      <c r="B919" s="5"/>
    </row>
    <row r="920" spans="2:2">
      <c r="B920" s="5"/>
    </row>
    <row r="921" spans="2:2">
      <c r="B921" s="5"/>
    </row>
    <row r="922" spans="2:2">
      <c r="B922" s="5"/>
    </row>
    <row r="923" spans="2:2">
      <c r="B923" s="5"/>
    </row>
    <row r="924" spans="2:2">
      <c r="B924" s="5"/>
    </row>
    <row r="925" spans="2:2">
      <c r="B925" s="5"/>
    </row>
    <row r="926" spans="2:2">
      <c r="B926" s="5"/>
    </row>
    <row r="927" spans="2:2">
      <c r="B927" s="5"/>
    </row>
    <row r="928" spans="2:2">
      <c r="B928" s="5"/>
    </row>
    <row r="929" spans="2:2">
      <c r="B929" s="5"/>
    </row>
    <row r="930" spans="2:2">
      <c r="B930" s="5"/>
    </row>
    <row r="931" spans="2:2">
      <c r="B931" s="5"/>
    </row>
    <row r="932" spans="2:2">
      <c r="B932" s="5"/>
    </row>
    <row r="933" spans="2:2">
      <c r="B933" s="5"/>
    </row>
    <row r="934" spans="2:2">
      <c r="B934" s="5"/>
    </row>
    <row r="935" spans="2:2">
      <c r="B935" s="5"/>
    </row>
    <row r="936" spans="2:2">
      <c r="B936" s="5"/>
    </row>
    <row r="937" spans="2:2">
      <c r="B937" s="5"/>
    </row>
    <row r="938" spans="2:2">
      <c r="B938" s="5"/>
    </row>
    <row r="939" spans="2:2">
      <c r="B939" s="5"/>
    </row>
    <row r="940" spans="2:2">
      <c r="B940" s="5"/>
    </row>
    <row r="941" spans="2:2">
      <c r="B941" s="5"/>
    </row>
    <row r="942" spans="2:2">
      <c r="B942" s="5"/>
    </row>
    <row r="943" spans="2:2">
      <c r="B943" s="5"/>
    </row>
    <row r="944" spans="2:2">
      <c r="B944" s="5"/>
    </row>
    <row r="945" spans="2:2">
      <c r="B945" s="5"/>
    </row>
    <row r="946" spans="2:2">
      <c r="B946" s="5"/>
    </row>
    <row r="947" spans="2:2">
      <c r="B947" s="5"/>
    </row>
    <row r="948" spans="2:2">
      <c r="B948" s="5"/>
    </row>
    <row r="949" spans="2:2">
      <c r="B949" s="5"/>
    </row>
    <row r="950" spans="2:2">
      <c r="B950" s="5"/>
    </row>
    <row r="951" spans="2:2">
      <c r="B951" s="5"/>
    </row>
    <row r="952" spans="2:2">
      <c r="B952" s="5"/>
    </row>
    <row r="953" spans="2:2">
      <c r="B953" s="5"/>
    </row>
    <row r="954" spans="2:2">
      <c r="B954" s="5"/>
    </row>
    <row r="955" spans="2:2">
      <c r="B955" s="5"/>
    </row>
    <row r="956" spans="2:2">
      <c r="B956" s="5"/>
    </row>
    <row r="957" spans="2:2">
      <c r="B957" s="5"/>
    </row>
    <row r="958" spans="2:2">
      <c r="B958" s="5"/>
    </row>
    <row r="959" spans="2:2">
      <c r="B959" s="5"/>
    </row>
    <row r="960" spans="2:2">
      <c r="B960" s="5"/>
    </row>
    <row r="961" spans="2:2">
      <c r="B961" s="5"/>
    </row>
    <row r="962" spans="2:2">
      <c r="B962" s="5"/>
    </row>
    <row r="963" spans="2:2">
      <c r="B963" s="5"/>
    </row>
    <row r="964" spans="2:2">
      <c r="B964" s="5"/>
    </row>
    <row r="965" spans="2:2">
      <c r="B965" s="5"/>
    </row>
    <row r="966" spans="2:2">
      <c r="B966" s="5"/>
    </row>
    <row r="967" spans="2:2">
      <c r="B967" s="5"/>
    </row>
    <row r="968" spans="2:2">
      <c r="B968" s="5"/>
    </row>
    <row r="969" spans="2:2">
      <c r="B969" s="5"/>
    </row>
    <row r="970" spans="2:2">
      <c r="B970" s="5"/>
    </row>
    <row r="971" spans="2:2">
      <c r="B971" s="5"/>
    </row>
    <row r="972" spans="2:2">
      <c r="B972" s="5"/>
    </row>
    <row r="973" spans="2:2">
      <c r="B973" s="5"/>
    </row>
    <row r="974" spans="2:2">
      <c r="B974" s="5"/>
    </row>
    <row r="975" spans="2:2">
      <c r="B975" s="5"/>
    </row>
    <row r="976" spans="2:2">
      <c r="B976" s="5"/>
    </row>
    <row r="977" spans="2:2">
      <c r="B977" s="5"/>
    </row>
    <row r="978" spans="2:2">
      <c r="B978" s="5"/>
    </row>
    <row r="979" spans="2:2">
      <c r="B979" s="5"/>
    </row>
    <row r="980" spans="2:2">
      <c r="B980" s="5"/>
    </row>
    <row r="981" spans="2:2">
      <c r="B981" s="5"/>
    </row>
    <row r="982" spans="2:2">
      <c r="B982" s="5"/>
    </row>
    <row r="983" spans="2:2">
      <c r="B983" s="5"/>
    </row>
    <row r="984" spans="2:2">
      <c r="B984" s="5"/>
    </row>
    <row r="985" spans="2:2">
      <c r="B985" s="5"/>
    </row>
    <row r="986" spans="2:2">
      <c r="B986" s="5"/>
    </row>
    <row r="987" spans="2:2">
      <c r="B987" s="5"/>
    </row>
    <row r="988" spans="2:2">
      <c r="B988" s="5"/>
    </row>
    <row r="989" spans="2:2">
      <c r="B989" s="5"/>
    </row>
    <row r="990" spans="2:2">
      <c r="B990" s="5"/>
    </row>
    <row r="991" spans="2:2">
      <c r="B991" s="5"/>
    </row>
    <row r="992" spans="2:2">
      <c r="B992" s="5"/>
    </row>
    <row r="993" spans="2:2">
      <c r="B993" s="5"/>
    </row>
    <row r="994" spans="2:2">
      <c r="B994" s="5"/>
    </row>
    <row r="995" spans="2:2">
      <c r="B995" s="5"/>
    </row>
    <row r="996" spans="2:2">
      <c r="B996" s="5"/>
    </row>
    <row r="997" spans="2:2">
      <c r="B997" s="5"/>
    </row>
    <row r="998" spans="2:2">
      <c r="B998" s="5"/>
    </row>
    <row r="999" spans="2:2">
      <c r="B999" s="5"/>
    </row>
    <row r="1000" spans="2:2">
      <c r="B1000" s="5"/>
    </row>
    <row r="1001" spans="2:2">
      <c r="B1001" s="5"/>
    </row>
    <row r="1002" spans="2:2">
      <c r="B1002" s="5"/>
    </row>
    <row r="1003" spans="2:2">
      <c r="B1003" s="5"/>
    </row>
    <row r="1004" spans="2:2">
      <c r="B1004" s="5"/>
    </row>
    <row r="1005" spans="2:2">
      <c r="B1005" s="5"/>
    </row>
    <row r="1006" spans="2:2">
      <c r="B1006" s="5"/>
    </row>
    <row r="1007" spans="2:2">
      <c r="B1007" s="5"/>
    </row>
    <row r="1008" spans="2:2">
      <c r="B1008" s="5"/>
    </row>
    <row r="1009" spans="2:2">
      <c r="B1009" s="5"/>
    </row>
    <row r="1010" spans="2:2">
      <c r="B1010" s="5"/>
    </row>
    <row r="1011" spans="2:2">
      <c r="B1011" s="5"/>
    </row>
    <row r="1012" spans="2:2">
      <c r="B1012" s="5"/>
    </row>
    <row r="1013" spans="2:2">
      <c r="B1013" s="5"/>
    </row>
    <row r="1014" spans="2:2">
      <c r="B1014" s="5"/>
    </row>
    <row r="1015" spans="2:2">
      <c r="B1015" s="5"/>
    </row>
    <row r="1016" spans="2:2">
      <c r="B1016" s="5"/>
    </row>
    <row r="1017" spans="2:2">
      <c r="B1017" s="5"/>
    </row>
    <row r="1018" spans="2:2">
      <c r="B1018" s="5"/>
    </row>
    <row r="1019" spans="2:2">
      <c r="B1019" s="5"/>
    </row>
    <row r="1020" spans="2:2">
      <c r="B1020" s="5"/>
    </row>
    <row r="1021" spans="2:2">
      <c r="B1021" s="5"/>
    </row>
    <row r="1022" spans="2:2">
      <c r="B1022" s="5"/>
    </row>
    <row r="1023" spans="2:2">
      <c r="B1023" s="5"/>
    </row>
    <row r="1024" spans="2:2">
      <c r="B1024" s="5"/>
    </row>
    <row r="1025" spans="2:2">
      <c r="B1025" s="5"/>
    </row>
    <row r="1026" spans="2:2">
      <c r="B1026" s="5"/>
    </row>
    <row r="1027" spans="2:2">
      <c r="B1027" s="5"/>
    </row>
    <row r="1028" spans="2:2">
      <c r="B1028" s="5"/>
    </row>
    <row r="1029" spans="2:2">
      <c r="B1029" s="5"/>
    </row>
    <row r="1030" spans="2:2">
      <c r="B1030" s="5"/>
    </row>
    <row r="1031" spans="2:2">
      <c r="B1031" s="5"/>
    </row>
    <row r="1032" spans="2:2">
      <c r="B1032" s="5"/>
    </row>
    <row r="1033" spans="2:2">
      <c r="B1033" s="5"/>
    </row>
    <row r="1034" spans="2:2">
      <c r="B1034" s="5"/>
    </row>
    <row r="1035" spans="2:2">
      <c r="B1035" s="5"/>
    </row>
    <row r="1036" spans="2:2">
      <c r="B1036" s="5"/>
    </row>
    <row r="1037" spans="2:2">
      <c r="B1037" s="5"/>
    </row>
    <row r="1038" spans="2:2">
      <c r="B1038" s="5"/>
    </row>
    <row r="1039" spans="2:2">
      <c r="B1039" s="5"/>
    </row>
    <row r="1040" spans="2:2">
      <c r="B1040" s="5"/>
    </row>
    <row r="1041" spans="2:2">
      <c r="B1041" s="5"/>
    </row>
    <row r="1042" spans="2:2">
      <c r="B1042" s="5"/>
    </row>
    <row r="1043" spans="2:2">
      <c r="B1043" s="5"/>
    </row>
    <row r="1044" spans="2:2">
      <c r="B1044" s="5"/>
    </row>
    <row r="1045" spans="2:2">
      <c r="B1045" s="5"/>
    </row>
    <row r="1046" spans="2:2">
      <c r="B1046" s="5"/>
    </row>
    <row r="1047" spans="2:2">
      <c r="B1047" s="5"/>
    </row>
    <row r="1048" spans="2:2">
      <c r="B1048" s="5"/>
    </row>
    <row r="1049" spans="2:2">
      <c r="B1049" s="5"/>
    </row>
    <row r="1050" spans="2:2">
      <c r="B1050" s="5"/>
    </row>
    <row r="1051" spans="2:2">
      <c r="B1051" s="5"/>
    </row>
    <row r="1052" spans="2:2">
      <c r="B1052" s="5"/>
    </row>
    <row r="1053" spans="2:2">
      <c r="B1053" s="5"/>
    </row>
    <row r="1054" spans="2:2">
      <c r="B1054" s="5"/>
    </row>
    <row r="1055" spans="2:2">
      <c r="B1055" s="5"/>
    </row>
    <row r="1056" spans="2:2">
      <c r="B1056" s="5"/>
    </row>
    <row r="1057" spans="2:2">
      <c r="B1057" s="5"/>
    </row>
    <row r="1058" spans="2:2">
      <c r="B1058" s="5"/>
    </row>
    <row r="1059" spans="2:2">
      <c r="B1059" s="5"/>
    </row>
    <row r="1060" spans="2:2">
      <c r="B1060" s="5"/>
    </row>
    <row r="1061" spans="2:2">
      <c r="B1061" s="5"/>
    </row>
    <row r="1062" spans="2:2">
      <c r="B1062" s="5"/>
    </row>
    <row r="1063" spans="2:2">
      <c r="B1063" s="5"/>
    </row>
    <row r="1064" spans="2:2">
      <c r="B1064" s="5"/>
    </row>
    <row r="1065" spans="2:2">
      <c r="B1065" s="5"/>
    </row>
    <row r="1066" spans="2:2">
      <c r="B1066" s="5"/>
    </row>
    <row r="1067" spans="2:2">
      <c r="B1067" s="5"/>
    </row>
    <row r="1068" spans="2:2">
      <c r="B1068" s="5"/>
    </row>
    <row r="1069" spans="2:2">
      <c r="B1069" s="5"/>
    </row>
    <row r="1070" spans="2:2">
      <c r="B1070" s="5"/>
    </row>
    <row r="1071" spans="2:2">
      <c r="B1071" s="5"/>
    </row>
    <row r="1072" spans="2:2">
      <c r="B1072" s="5"/>
    </row>
    <row r="1073" spans="2:2">
      <c r="B1073" s="5"/>
    </row>
    <row r="1074" spans="2:2">
      <c r="B1074" s="5"/>
    </row>
    <row r="1075" spans="2:2">
      <c r="B1075" s="5"/>
    </row>
    <row r="1076" spans="2:2">
      <c r="B1076" s="5"/>
    </row>
    <row r="1077" spans="2:2">
      <c r="B1077" s="5"/>
    </row>
    <row r="1078" spans="2:2">
      <c r="B1078" s="5"/>
    </row>
    <row r="1079" spans="2:2">
      <c r="B1079" s="5"/>
    </row>
    <row r="1080" spans="2:2">
      <c r="B1080" s="5"/>
    </row>
    <row r="1081" spans="2:2">
      <c r="B1081" s="5"/>
    </row>
    <row r="1082" spans="2:2">
      <c r="B1082" s="5"/>
    </row>
    <row r="1083" spans="2:2">
      <c r="B1083" s="5"/>
    </row>
    <row r="1084" spans="2:2">
      <c r="B1084" s="5"/>
    </row>
    <row r="1085" spans="2:2">
      <c r="B1085" s="5"/>
    </row>
    <row r="1086" spans="2:2">
      <c r="B1086" s="5"/>
    </row>
    <row r="1087" spans="2:2">
      <c r="B1087" s="5"/>
    </row>
    <row r="1088" spans="2:2">
      <c r="B1088" s="5"/>
    </row>
    <row r="1089" spans="2:2">
      <c r="B1089" s="5"/>
    </row>
    <row r="1090" spans="2:2">
      <c r="B1090" s="5"/>
    </row>
    <row r="1091" spans="2:2">
      <c r="B1091" s="5"/>
    </row>
    <row r="1092" spans="2:2">
      <c r="B1092" s="5"/>
    </row>
    <row r="1093" spans="2:2">
      <c r="B1093" s="5"/>
    </row>
    <row r="1094" spans="2:2">
      <c r="B1094" s="5"/>
    </row>
    <row r="1095" spans="2:2">
      <c r="B1095" s="5"/>
    </row>
    <row r="1096" spans="2:2">
      <c r="B1096" s="5"/>
    </row>
    <row r="1097" spans="2:2">
      <c r="B1097" s="5"/>
    </row>
    <row r="1098" spans="2:2">
      <c r="B1098" s="5"/>
    </row>
    <row r="1099" spans="2:2">
      <c r="B1099" s="5"/>
    </row>
    <row r="1100" spans="2:2">
      <c r="B1100" s="5"/>
    </row>
    <row r="1101" spans="2:2">
      <c r="B1101" s="5"/>
    </row>
    <row r="1102" spans="2:2">
      <c r="B1102" s="5"/>
    </row>
    <row r="1103" spans="2:2">
      <c r="B1103" s="5"/>
    </row>
    <row r="1104" spans="2:2">
      <c r="B1104" s="5"/>
    </row>
    <row r="1105" spans="2:2">
      <c r="B1105" s="5"/>
    </row>
    <row r="1106" spans="2:2">
      <c r="B1106" s="5"/>
    </row>
    <row r="1107" spans="2:2">
      <c r="B1107" s="5"/>
    </row>
    <row r="1108" spans="2:2">
      <c r="B1108" s="5"/>
    </row>
    <row r="1109" spans="2:2">
      <c r="B1109" s="5"/>
    </row>
    <row r="1110" spans="2:2">
      <c r="B1110" s="5"/>
    </row>
    <row r="1111" spans="2:2">
      <c r="B1111" s="5"/>
    </row>
    <row r="1112" spans="2:2">
      <c r="B1112" s="5"/>
    </row>
    <row r="1113" spans="2:2">
      <c r="B1113" s="5"/>
    </row>
    <row r="1114" spans="2:2">
      <c r="B1114" s="5"/>
    </row>
    <row r="1115" spans="2:2">
      <c r="B1115" s="5"/>
    </row>
    <row r="1116" spans="2:2">
      <c r="B1116" s="5"/>
    </row>
    <row r="1117" spans="2:2">
      <c r="B1117" s="5"/>
    </row>
    <row r="1118" spans="2:2">
      <c r="B1118" s="5"/>
    </row>
    <row r="1119" spans="2:2">
      <c r="B1119" s="5"/>
    </row>
    <row r="1120" spans="2:2">
      <c r="B1120" s="5"/>
    </row>
    <row r="1121" spans="2:2">
      <c r="B1121" s="5"/>
    </row>
    <row r="1122" spans="2:2">
      <c r="B1122" s="5"/>
    </row>
    <row r="1123" spans="2:2">
      <c r="B1123" s="5"/>
    </row>
    <row r="1124" spans="2:2">
      <c r="B1124" s="5"/>
    </row>
    <row r="1125" spans="2:2">
      <c r="B1125" s="5"/>
    </row>
    <row r="1126" spans="2:2">
      <c r="B1126" s="5"/>
    </row>
    <row r="1127" spans="2:2">
      <c r="B1127" s="5"/>
    </row>
    <row r="1128" spans="2:2">
      <c r="B1128" s="5"/>
    </row>
    <row r="1129" spans="2:2">
      <c r="B1129" s="5"/>
    </row>
    <row r="1130" spans="2:2">
      <c r="B1130" s="5"/>
    </row>
    <row r="1131" spans="2:2">
      <c r="B1131" s="5"/>
    </row>
    <row r="1132" spans="2:2">
      <c r="B1132" s="5"/>
    </row>
    <row r="1133" spans="2:2">
      <c r="B1133" s="5"/>
    </row>
    <row r="1134" spans="2:2">
      <c r="B1134" s="5"/>
    </row>
    <row r="1135" spans="2:2">
      <c r="B1135" s="5"/>
    </row>
    <row r="1136" spans="2:2">
      <c r="B1136" s="5"/>
    </row>
    <row r="1137" spans="2:2">
      <c r="B1137" s="5"/>
    </row>
    <row r="1138" spans="2:2">
      <c r="B1138" s="5"/>
    </row>
    <row r="1139" spans="2:2">
      <c r="B1139" s="5"/>
    </row>
    <row r="1140" spans="2:2">
      <c r="B1140" s="5"/>
    </row>
    <row r="1141" spans="2:2">
      <c r="B1141" s="5"/>
    </row>
    <row r="1142" spans="2:2">
      <c r="B1142" s="5"/>
    </row>
    <row r="1143" spans="2:2">
      <c r="B1143" s="5"/>
    </row>
    <row r="1144" spans="2:2">
      <c r="B1144" s="5"/>
    </row>
    <row r="1145" spans="2:2">
      <c r="B1145" s="5"/>
    </row>
    <row r="1146" spans="2:2">
      <c r="B1146" s="5"/>
    </row>
    <row r="1147" spans="2:2">
      <c r="B1147" s="5"/>
    </row>
    <row r="1148" spans="2:2">
      <c r="B1148" s="5"/>
    </row>
    <row r="1149" spans="2:2">
      <c r="B1149" s="5"/>
    </row>
    <row r="1150" spans="2:2">
      <c r="B1150" s="5"/>
    </row>
    <row r="1151" spans="2:2">
      <c r="B1151" s="5"/>
    </row>
    <row r="1152" spans="2:2">
      <c r="B1152" s="5"/>
    </row>
    <row r="1153" spans="2:2">
      <c r="B1153" s="5"/>
    </row>
    <row r="1154" spans="2:2">
      <c r="B1154" s="5"/>
    </row>
    <row r="1155" spans="2:2">
      <c r="B1155" s="5"/>
    </row>
    <row r="1156" spans="2:2">
      <c r="B1156" s="5"/>
    </row>
    <row r="1157" spans="2:2">
      <c r="B1157" s="5"/>
    </row>
    <row r="1158" spans="2:2">
      <c r="B1158" s="5"/>
    </row>
    <row r="1159" spans="2:2">
      <c r="B1159" s="5"/>
    </row>
    <row r="1160" spans="2:2">
      <c r="B1160" s="5"/>
    </row>
    <row r="1161" spans="2:2">
      <c r="B1161" s="5"/>
    </row>
    <row r="1162" spans="2:2">
      <c r="B1162" s="5"/>
    </row>
    <row r="1163" spans="2:2">
      <c r="B1163" s="5"/>
    </row>
    <row r="1164" spans="2:2">
      <c r="B1164" s="5"/>
    </row>
    <row r="1165" spans="2:2">
      <c r="B1165" s="5"/>
    </row>
    <row r="1166" spans="2:2">
      <c r="B1166" s="5"/>
    </row>
    <row r="1167" spans="2:2">
      <c r="B1167" s="5"/>
    </row>
    <row r="1168" spans="2:2">
      <c r="B1168" s="5"/>
    </row>
    <row r="1169" spans="2:2">
      <c r="B1169" s="5"/>
    </row>
    <row r="1170" spans="2:2">
      <c r="B1170" s="5"/>
    </row>
    <row r="1171" spans="2:2">
      <c r="B1171" s="5"/>
    </row>
    <row r="1172" spans="2:2">
      <c r="B1172" s="5"/>
    </row>
    <row r="1173" spans="2:2">
      <c r="B1173" s="5"/>
    </row>
    <row r="1174" spans="2:2">
      <c r="B1174" s="5"/>
    </row>
    <row r="1175" spans="2:2">
      <c r="B1175" s="5"/>
    </row>
    <row r="1176" spans="2:2">
      <c r="B1176" s="5"/>
    </row>
    <row r="1177" spans="2:2">
      <c r="B1177" s="5"/>
    </row>
    <row r="1178" spans="2:2">
      <c r="B1178" s="5"/>
    </row>
    <row r="1179" spans="2:2">
      <c r="B1179" s="5"/>
    </row>
    <row r="1180" spans="2:2">
      <c r="B1180" s="5"/>
    </row>
    <row r="1181" spans="2:2">
      <c r="B1181" s="5"/>
    </row>
    <row r="1182" spans="2:2">
      <c r="B1182" s="5"/>
    </row>
    <row r="1183" spans="2:2">
      <c r="B1183" s="5"/>
    </row>
    <row r="1184" spans="2:2">
      <c r="B1184" s="5"/>
    </row>
    <row r="1185" spans="2:2">
      <c r="B1185" s="5"/>
    </row>
    <row r="1186" spans="2:2">
      <c r="B1186" s="5"/>
    </row>
    <row r="1187" spans="2:2">
      <c r="B1187" s="5"/>
    </row>
    <row r="1188" spans="2:2">
      <c r="B1188" s="5"/>
    </row>
    <row r="1189" spans="2:2">
      <c r="B1189" s="5"/>
    </row>
    <row r="1190" spans="2:2">
      <c r="B1190" s="5"/>
    </row>
    <row r="1191" spans="2:2">
      <c r="B1191" s="5"/>
    </row>
    <row r="1192" spans="2:2">
      <c r="B1192" s="5"/>
    </row>
    <row r="1193" spans="2:2">
      <c r="B1193" s="5"/>
    </row>
    <row r="1194" spans="2:2">
      <c r="B1194" s="5"/>
    </row>
    <row r="1195" spans="2:2">
      <c r="B1195" s="5"/>
    </row>
    <row r="1196" spans="2:2">
      <c r="B1196" s="5"/>
    </row>
    <row r="1197" spans="2:2">
      <c r="B1197" s="5"/>
    </row>
    <row r="1198" spans="2:2">
      <c r="B1198" s="5"/>
    </row>
    <row r="1199" spans="2:2">
      <c r="B1199" s="5"/>
    </row>
    <row r="1200" spans="2:2">
      <c r="B1200" s="5"/>
    </row>
    <row r="1201" spans="2:2">
      <c r="B1201" s="5"/>
    </row>
    <row r="1202" spans="2:2">
      <c r="B1202" s="5"/>
    </row>
    <row r="1203" spans="2:2">
      <c r="B1203" s="5"/>
    </row>
    <row r="1204" spans="2:2">
      <c r="B1204" s="5"/>
    </row>
    <row r="1205" spans="2:2">
      <c r="B1205" s="5"/>
    </row>
    <row r="1206" spans="2:2">
      <c r="B1206" s="5"/>
    </row>
    <row r="1207" spans="2:2">
      <c r="B1207" s="5"/>
    </row>
    <row r="1208" spans="2:2">
      <c r="B1208" s="5"/>
    </row>
    <row r="1209" spans="2:2">
      <c r="B1209" s="5"/>
    </row>
    <row r="1210" spans="2:2">
      <c r="B1210" s="5"/>
    </row>
    <row r="1211" spans="2:2">
      <c r="B1211" s="5"/>
    </row>
    <row r="1212" spans="2:2">
      <c r="B1212" s="5"/>
    </row>
    <row r="1213" spans="2:2">
      <c r="B1213" s="5"/>
    </row>
    <row r="1214" spans="2:2">
      <c r="B1214" s="5"/>
    </row>
    <row r="1215" spans="2:2">
      <c r="B1215" s="5"/>
    </row>
    <row r="1216" spans="2:2">
      <c r="B1216" s="5"/>
    </row>
    <row r="1217" spans="2:2">
      <c r="B1217" s="5"/>
    </row>
    <row r="1218" spans="2:2">
      <c r="B1218" s="5"/>
    </row>
    <row r="1219" spans="2:2">
      <c r="B1219" s="5"/>
    </row>
    <row r="1220" spans="2:2">
      <c r="B1220" s="5"/>
    </row>
    <row r="1221" spans="2:2">
      <c r="B1221" s="5"/>
    </row>
    <row r="1222" spans="2:2">
      <c r="B1222" s="5"/>
    </row>
    <row r="1223" spans="2:2">
      <c r="B1223" s="5"/>
    </row>
    <row r="1224" spans="2:2">
      <c r="B1224" s="5"/>
    </row>
    <row r="1225" spans="2:2">
      <c r="B1225" s="5"/>
    </row>
    <row r="1226" spans="2:2">
      <c r="B1226" s="5"/>
    </row>
    <row r="1227" spans="2:2">
      <c r="B1227" s="5"/>
    </row>
    <row r="1228" spans="2:2">
      <c r="B1228" s="5"/>
    </row>
    <row r="1229" spans="2:2">
      <c r="B1229" s="5"/>
    </row>
    <row r="1230" spans="2:2">
      <c r="B1230" s="5"/>
    </row>
    <row r="1231" spans="2:2">
      <c r="B1231" s="5"/>
    </row>
    <row r="1232" spans="2:2">
      <c r="B1232" s="5"/>
    </row>
    <row r="1233" spans="2:2">
      <c r="B1233" s="5"/>
    </row>
    <row r="1234" spans="2:2">
      <c r="B1234" s="5"/>
    </row>
    <row r="1235" spans="2:2">
      <c r="B1235" s="5"/>
    </row>
    <row r="1236" spans="2:2">
      <c r="B1236" s="5"/>
    </row>
    <row r="1237" spans="2:2">
      <c r="B1237" s="5"/>
    </row>
    <row r="1238" spans="2:2">
      <c r="B1238" s="5"/>
    </row>
    <row r="1239" spans="2:2">
      <c r="B1239" s="5"/>
    </row>
    <row r="1240" spans="2:2">
      <c r="B1240" s="5"/>
    </row>
    <row r="1241" spans="2:2">
      <c r="B1241" s="5"/>
    </row>
    <row r="1242" spans="2:2">
      <c r="B1242" s="5"/>
    </row>
    <row r="1243" spans="2:2">
      <c r="B1243" s="5"/>
    </row>
    <row r="1244" spans="2:2">
      <c r="B1244" s="5"/>
    </row>
    <row r="1245" spans="2:2">
      <c r="B1245" s="5"/>
    </row>
    <row r="1246" spans="2:2">
      <c r="B1246" s="5"/>
    </row>
    <row r="1247" spans="2:2">
      <c r="B1247" s="5"/>
    </row>
    <row r="1248" spans="2:2">
      <c r="B1248" s="5"/>
    </row>
    <row r="1249" spans="2:2">
      <c r="B1249" s="5"/>
    </row>
    <row r="1250" spans="2:2">
      <c r="B1250" s="5"/>
    </row>
    <row r="1251" spans="2:2">
      <c r="B1251" s="5"/>
    </row>
    <row r="1252" spans="2:2">
      <c r="B1252" s="5"/>
    </row>
    <row r="1253" spans="2:2">
      <c r="B1253" s="5"/>
    </row>
    <row r="1254" spans="2:2">
      <c r="B1254" s="5"/>
    </row>
    <row r="1255" spans="2:2">
      <c r="B1255" s="5"/>
    </row>
    <row r="1256" spans="2:2">
      <c r="B1256" s="5"/>
    </row>
    <row r="1257" spans="2:2">
      <c r="B1257" s="5"/>
    </row>
    <row r="1258" spans="2:2">
      <c r="B1258" s="5"/>
    </row>
    <row r="1259" spans="2:2">
      <c r="B1259" s="5"/>
    </row>
    <row r="1260" spans="2:2">
      <c r="B1260" s="5"/>
    </row>
    <row r="1261" spans="2:2">
      <c r="B1261" s="5"/>
    </row>
    <row r="1262" spans="2:2">
      <c r="B1262" s="5"/>
    </row>
    <row r="1263" spans="2:2">
      <c r="B1263" s="5"/>
    </row>
    <row r="1264" spans="2:2">
      <c r="B1264" s="5"/>
    </row>
    <row r="1265" spans="2:2">
      <c r="B1265" s="5"/>
    </row>
    <row r="1266" spans="2:2">
      <c r="B1266" s="5"/>
    </row>
    <row r="1267" spans="2:2">
      <c r="B1267" s="5"/>
    </row>
    <row r="1268" spans="2:2">
      <c r="B1268" s="5"/>
    </row>
    <row r="1269" spans="2:2">
      <c r="B1269" s="5"/>
    </row>
    <row r="1270" spans="2:2">
      <c r="B1270" s="5"/>
    </row>
    <row r="1271" spans="2:2">
      <c r="B1271" s="5"/>
    </row>
    <row r="1272" spans="2:2">
      <c r="B1272" s="5"/>
    </row>
    <row r="1273" spans="2:2">
      <c r="B1273" s="5"/>
    </row>
    <row r="1274" spans="2:2">
      <c r="B1274" s="5"/>
    </row>
    <row r="1275" spans="2:2">
      <c r="B1275" s="5"/>
    </row>
    <row r="1276" spans="2:2">
      <c r="B1276" s="5"/>
    </row>
    <row r="1277" spans="2:2">
      <c r="B1277" s="5"/>
    </row>
    <row r="1278" spans="2:2">
      <c r="B1278" s="5"/>
    </row>
    <row r="1279" spans="2:2">
      <c r="B1279" s="5"/>
    </row>
    <row r="1280" spans="2:2">
      <c r="B1280" s="5"/>
    </row>
    <row r="1281" spans="2:2">
      <c r="B1281" s="5"/>
    </row>
    <row r="1282" spans="2:2">
      <c r="B1282" s="5"/>
    </row>
    <row r="1283" spans="2:2">
      <c r="B1283" s="5"/>
    </row>
    <row r="1284" spans="2:2">
      <c r="B1284" s="5"/>
    </row>
    <row r="1285" spans="2:2">
      <c r="B1285" s="5"/>
    </row>
    <row r="1286" spans="2:2">
      <c r="B1286" s="5"/>
    </row>
    <row r="1287" spans="2:2">
      <c r="B1287" s="5"/>
    </row>
    <row r="1288" spans="2:2">
      <c r="B1288" s="5"/>
    </row>
    <row r="1289" spans="2:2">
      <c r="B1289" s="5"/>
    </row>
    <row r="1290" spans="2:2">
      <c r="B1290" s="5"/>
    </row>
    <row r="1291" spans="2:2">
      <c r="B1291" s="5"/>
    </row>
    <row r="1292" spans="2:2">
      <c r="B1292" s="5"/>
    </row>
    <row r="1293" spans="2:2">
      <c r="B1293" s="5"/>
    </row>
    <row r="1294" spans="2:2">
      <c r="B1294" s="5"/>
    </row>
    <row r="1295" spans="2:2">
      <c r="B1295" s="5"/>
    </row>
    <row r="1296" spans="2:2">
      <c r="B1296" s="5"/>
    </row>
    <row r="1297" spans="2:2">
      <c r="B1297" s="5"/>
    </row>
    <row r="1298" spans="2:2">
      <c r="B1298" s="5"/>
    </row>
    <row r="1299" spans="2:2">
      <c r="B1299" s="5"/>
    </row>
    <row r="1300" spans="2:2">
      <c r="B1300" s="5"/>
    </row>
    <row r="1301" spans="2:2">
      <c r="B1301" s="5"/>
    </row>
    <row r="1302" spans="2:2">
      <c r="B1302" s="5"/>
    </row>
    <row r="1303" spans="2:2">
      <c r="B1303" s="5"/>
    </row>
    <row r="1304" spans="2:2">
      <c r="B1304" s="5"/>
    </row>
    <row r="1305" spans="2:2">
      <c r="B1305" s="5"/>
    </row>
    <row r="1306" spans="2:2">
      <c r="B1306" s="5"/>
    </row>
    <row r="1307" spans="2:2">
      <c r="B1307" s="5"/>
    </row>
    <row r="1308" spans="2:2">
      <c r="B1308" s="5"/>
    </row>
    <row r="1309" spans="2:2">
      <c r="B1309" s="5"/>
    </row>
    <row r="1310" spans="2:2">
      <c r="B1310" s="5"/>
    </row>
    <row r="1311" spans="2:2">
      <c r="B1311" s="5"/>
    </row>
    <row r="1312" spans="2:2">
      <c r="B1312" s="5"/>
    </row>
    <row r="1313" spans="2:2">
      <c r="B1313" s="5"/>
    </row>
    <row r="1314" spans="2:2">
      <c r="B1314" s="5"/>
    </row>
    <row r="1315" spans="2:2">
      <c r="B1315" s="5"/>
    </row>
    <row r="1316" spans="2:2">
      <c r="B1316" s="5"/>
    </row>
    <row r="1317" spans="2:2">
      <c r="B1317" s="5"/>
    </row>
    <row r="1318" spans="2:2">
      <c r="B1318" s="5"/>
    </row>
    <row r="1319" spans="2:2">
      <c r="B1319" s="5"/>
    </row>
    <row r="1320" spans="2:2">
      <c r="B1320" s="5"/>
    </row>
    <row r="1321" spans="2:2">
      <c r="B1321" s="5"/>
    </row>
    <row r="1322" spans="2:2">
      <c r="B1322" s="5"/>
    </row>
    <row r="1323" spans="2:2">
      <c r="B1323" s="5"/>
    </row>
    <row r="1324" spans="2:2">
      <c r="B1324" s="5"/>
    </row>
    <row r="1325" spans="2:2">
      <c r="B1325" s="5"/>
    </row>
    <row r="1326" spans="2:2">
      <c r="B1326" s="5"/>
    </row>
    <row r="1327" spans="2:2">
      <c r="B1327" s="5"/>
    </row>
    <row r="1328" spans="2:2">
      <c r="B1328" s="5"/>
    </row>
    <row r="1329" spans="2:2">
      <c r="B1329" s="5"/>
    </row>
    <row r="1330" spans="2:2">
      <c r="B1330" s="5"/>
    </row>
    <row r="1331" spans="2:2">
      <c r="B1331" s="5"/>
    </row>
    <row r="1332" spans="2:2">
      <c r="B1332" s="5"/>
    </row>
    <row r="1333" spans="2:2">
      <c r="B1333" s="5"/>
    </row>
    <row r="1334" spans="2:2">
      <c r="B1334" s="5"/>
    </row>
    <row r="1335" spans="2:2">
      <c r="B1335" s="5"/>
    </row>
    <row r="1336" spans="2:2">
      <c r="B1336" s="5"/>
    </row>
    <row r="1337" spans="2:2">
      <c r="B1337" s="5"/>
    </row>
    <row r="1338" spans="2:2">
      <c r="B1338" s="5"/>
    </row>
    <row r="1339" spans="2:2">
      <c r="B1339" s="5"/>
    </row>
    <row r="1340" spans="2:2">
      <c r="B1340" s="5"/>
    </row>
    <row r="1341" spans="2:2">
      <c r="B1341" s="5"/>
    </row>
    <row r="1342" spans="2:2">
      <c r="B1342" s="5"/>
    </row>
    <row r="1343" spans="2:2">
      <c r="B1343" s="5"/>
    </row>
    <row r="1344" spans="2:2">
      <c r="B1344" s="5"/>
    </row>
    <row r="1345" spans="2:2">
      <c r="B1345" s="5"/>
    </row>
    <row r="1346" spans="2:2">
      <c r="B1346" s="5"/>
    </row>
    <row r="1347" spans="2:2">
      <c r="B1347" s="5"/>
    </row>
    <row r="1348" spans="2:2">
      <c r="B1348" s="5"/>
    </row>
    <row r="1349" spans="2:2">
      <c r="B1349" s="5"/>
    </row>
    <row r="1350" spans="2:2">
      <c r="B1350" s="5"/>
    </row>
    <row r="1351" spans="2:2">
      <c r="B1351" s="5"/>
    </row>
    <row r="1352" spans="2:2">
      <c r="B1352" s="5"/>
    </row>
    <row r="1353" spans="2:2">
      <c r="B1353" s="5"/>
    </row>
  </sheetData>
  <sheetProtection formatCells="0" formatColumns="0" formatRows="0" insertRows="0" insertColumns="0" insertHyperlinks="0" deleteColumns="0" deleteRows="0" sort="0" autoFilter="0" pivotTables="0"/>
  <mergeCells count="4">
    <mergeCell ref="C1:E1"/>
    <mergeCell ref="F1:G1"/>
    <mergeCell ref="J1:K1"/>
    <mergeCell ref="L1:N1"/>
  </mergeCells>
  <hyperlinks>
    <hyperlink ref="M43" r:id="rId1" display="https://www.gov.uk/government/publications/frontier-ai-safety-commitments-ai-seoul-summit-2024/frontier-ai-safety-commitments-ai-seoul-summit-2024" tooltip="https://www.gov.uk/government/publications/frontier-ai-safety-commitments-ai-seoul-summit-2024/frontier-ai-safety-commitments-ai-seoul-summit-2024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WWO_wpscloud_20250121020202-bbed5faecf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指标变更明细</vt:lpstr>
      <vt:lpstr>pillar分</vt:lpstr>
      <vt:lpstr>subindex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梁栋旗</cp:lastModifiedBy>
  <dcterms:created xsi:type="dcterms:W3CDTF">2025-01-11T06:33:00Z</dcterms:created>
  <dcterms:modified xsi:type="dcterms:W3CDTF">2025-11-21T11:31:11Z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9D9A5B8425960351E2FE6C67FB1718E2_42</vt:lpwstr>
  </property>
  <property fmtid="{D5CDD505-2E9C-101B-9397-08002B2CF9AE}" pid="3" name="KSOProductBuildVer">
    <vt:lpwstr>2052-12.1.0.23542</vt:lpwstr>
  </property>
</Properties>
</file>